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2"/>
  </bookViews>
  <sheets>
    <sheet name="注册公司基础信息" sheetId="1" r:id="rId1"/>
    <sheet name="西班牙" sheetId="12" r:id="rId2"/>
    <sheet name="荷兰" sheetId="17" r:id="rId3"/>
    <sheet name="WEEE类别判定指南（勿动）" sheetId="22" r:id="rId4"/>
    <sheet name="电池法类别判定指南（勿动）" sheetId="14" r:id="rId5"/>
    <sheet name="包装法类别判定指南（勿动）" sheetId="16" r:id="rId6"/>
  </sheets>
  <externalReferences>
    <externalReference r:id="rId8"/>
    <externalReference r:id="rId9"/>
  </externalReferences>
  <definedNames>
    <definedName name="A.纽扣电池PILAS_BOTON">'[1]数据（勿删）'!#REF!</definedName>
    <definedName name="C.便携式蓄电池ACUMULADORES_PORTATILES">'[1]数据（勿删）'!#REF!</definedName>
    <definedName name="ProductList">[2]系统字典!$A$1:$A$47</definedName>
    <definedName name="CategoryList">[2]系统字典!$B$1:$B$269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487959B0E79B4EEE80DB49B150E3B0A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02035" y="5920105"/>
          <a:ext cx="11164570" cy="13674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982C6B1B6860432494C69ACF93B3D8A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52295" y="2890520"/>
          <a:ext cx="8667750" cy="4010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1C919F90B81B4CD6A4110EF480FAB48D"/>
        <xdr:cNvPicPr/>
      </xdr:nvPicPr>
      <xdr:blipFill>
        <a:blip r:embed="rId3"/>
        <a:stretch>
          <a:fillRect/>
        </a:stretch>
      </xdr:blipFill>
      <xdr:spPr>
        <a:xfrm>
          <a:off x="11033760" y="15217140"/>
          <a:ext cx="5785485" cy="5736590"/>
        </a:xfrm>
        <a:prstGeom prst="rect">
          <a:avLst/>
        </a:prstGeom>
        <a:ln w="0">
          <a:noFill/>
        </a:ln>
      </xdr:spPr>
    </xdr:pic>
  </etc:cellImage>
</etc:cellImages>
</file>

<file path=xl/sharedStrings.xml><?xml version="1.0" encoding="utf-8"?>
<sst xmlns="http://schemas.openxmlformats.org/spreadsheetml/2006/main" count="524" uniqueCount="468">
  <si>
    <r>
      <rPr>
        <b/>
        <sz val="26"/>
        <color theme="0"/>
        <rFont val="等线"/>
        <charset val="134"/>
      </rPr>
      <t>欧洲EPR申请表</t>
    </r>
    <r>
      <rPr>
        <b/>
        <sz val="18"/>
        <color theme="0"/>
        <rFont val="等线"/>
        <charset val="134"/>
      </rPr>
      <t>European EPR Application Form</t>
    </r>
  </si>
  <si>
    <t>注册项目
Register for the programme</t>
  </si>
  <si>
    <t>填表注意事项</t>
  </si>
  <si>
    <r>
      <rPr>
        <sz val="10"/>
        <color theme="1"/>
        <rFont val="等线"/>
        <charset val="134"/>
      </rPr>
      <t xml:space="preserve"> </t>
    </r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>请选择您的服务
Please select your service</t>
    </r>
  </si>
  <si>
    <t>WEEE</t>
  </si>
  <si>
    <t>电池法Battery</t>
  </si>
  <si>
    <t>包装法Packaging</t>
  </si>
  <si>
    <r>
      <rPr>
        <sz val="12"/>
        <color theme="1"/>
        <rFont val="等线"/>
        <charset val="134"/>
      </rPr>
      <t>1.请按照注册主体填写申请表，</t>
    </r>
    <r>
      <rPr>
        <b/>
        <sz val="12"/>
        <color rgb="FFFF0000"/>
        <rFont val="等线"/>
        <charset val="134"/>
      </rPr>
      <t>一个主体填写一张表</t>
    </r>
    <r>
      <rPr>
        <sz val="12"/>
        <color theme="1"/>
        <rFont val="等线"/>
        <charset val="134"/>
      </rPr>
      <t>；
2.请在左侧注册项目栏，</t>
    </r>
    <r>
      <rPr>
        <b/>
        <sz val="12"/>
        <color rgb="FFFF0000"/>
        <rFont val="等线"/>
        <charset val="134"/>
      </rPr>
      <t>勾选服务国家并勾选服务项目</t>
    </r>
    <r>
      <rPr>
        <sz val="12"/>
        <color theme="1"/>
        <rFont val="等线"/>
        <charset val="134"/>
      </rPr>
      <t>，勾选完毕后请仔细检查，避免遗漏或错误；
3.请填写完整填写此表，包括</t>
    </r>
    <r>
      <rPr>
        <b/>
        <sz val="12"/>
        <color rgb="FFFF0000"/>
        <rFont val="等线"/>
        <charset val="134"/>
      </rPr>
      <t>注册公司基础信息+各国信息表</t>
    </r>
    <r>
      <rPr>
        <sz val="12"/>
        <color theme="1"/>
        <rFont val="等线"/>
        <charset val="134"/>
      </rPr>
      <t>；
4.</t>
    </r>
    <r>
      <rPr>
        <b/>
        <sz val="12"/>
        <color rgb="FFFF0000"/>
        <rFont val="等线"/>
        <charset val="134"/>
      </rPr>
      <t>所有*或备注必填项请必须填写完整。</t>
    </r>
    <r>
      <rPr>
        <sz val="12"/>
        <color theme="1"/>
        <rFont val="等线"/>
        <charset val="134"/>
      </rPr>
      <t xml:space="preserve">
</t>
    </r>
    <r>
      <rPr>
        <b/>
        <sz val="12"/>
        <color rgb="FFFF0000"/>
        <rFont val="等线"/>
        <charset val="134"/>
      </rPr>
      <t xml:space="preserve">重要提醒：
</t>
    </r>
    <r>
      <rPr>
        <sz val="12"/>
        <rFont val="等线"/>
        <charset val="134"/>
      </rPr>
      <t>1.荷兰WEEE、电池法项目需要保证同一代理商进行注册，否则将影响下证；</t>
    </r>
    <r>
      <rPr>
        <sz val="12"/>
        <color theme="1"/>
        <rFont val="等线"/>
        <charset val="134"/>
      </rPr>
      <t xml:space="preserve">
2.由于瑞典所有项目的注册官网都是一个，且是用邮箱验证码登录的，请不要在不同的代理商处注册瑞典不同项目，否则会影响下证。
</t>
    </r>
    <r>
      <rPr>
        <b/>
        <sz val="12"/>
        <color rgb="FFFF0000"/>
        <rFont val="等线"/>
        <charset val="134"/>
      </rPr>
      <t>所有信息请务必仔细核对确认无误后提交，避免因信息遗漏或错误，影响注册信息提交。</t>
    </r>
  </si>
  <si>
    <r>
      <rPr>
        <b/>
        <sz val="12"/>
        <color theme="1"/>
        <rFont val="等线"/>
        <charset val="134"/>
      </rPr>
      <t xml:space="preserve">基本信息  </t>
    </r>
    <r>
      <rPr>
        <b/>
        <sz val="10"/>
        <color theme="1"/>
        <rFont val="等线"/>
        <charset val="134"/>
      </rPr>
      <t>Basic Information</t>
    </r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</si>
  <si>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>公司中文名称
Company name （in Chinese）</t>
    </r>
  </si>
  <si>
    <t>GEEKS TECH CO., LIMITED</t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</si>
  <si>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>公司英文名称
Company name (in English)</t>
    </r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</si>
  <si>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 xml:space="preserve">城市City
</t>
    </r>
    <r>
      <rPr>
        <sz val="10"/>
        <color rgb="FFFF0000"/>
        <rFont val="等线"/>
        <charset val="134"/>
      </rPr>
      <t>如：Shenzhen</t>
    </r>
  </si>
  <si>
    <t>HONGKONG</t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</si>
  <si>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 xml:space="preserve">公司中文地址
Company address (in Chinese)
</t>
    </r>
    <r>
      <rPr>
        <sz val="10"/>
        <color rgb="FFFF0000"/>
        <rFont val="等线"/>
        <charset val="134"/>
      </rPr>
      <t>与营业执照一致</t>
    </r>
  </si>
  <si>
    <t>ROOM G218, BLOCK G, 12/F, WINNER FACTORY BUILDING
55 HUNG TO ROAD
KWUN TONG
KOWLOON
000000
HK</t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</si>
  <si>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>公司英文地址
Company address(in English)</t>
    </r>
  </si>
  <si>
    <t xml:space="preserve">ROOM G218, BLOCK G, 12/F, WINNER FACTORY BUILDING
55 HUNG TO ROAD
KWUN TONG
KOWLOON
</t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</si>
  <si>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>邮编Postcode</t>
    </r>
  </si>
  <si>
    <t>000000</t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</si>
  <si>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 xml:space="preserve">统一社会信用代码/
营业执照号
Registration Number </t>
    </r>
  </si>
  <si>
    <r>
      <rPr>
        <b/>
        <sz val="10"/>
        <color rgb="FFFF0000"/>
        <rFont val="等线"/>
        <charset val="134"/>
      </rPr>
      <t>公司注册地VAT号/VAT number *</t>
    </r>
    <r>
      <rPr>
        <sz val="10"/>
        <color theme="1"/>
        <rFont val="等线"/>
        <charset val="134"/>
      </rPr>
      <t xml:space="preserve">
</t>
    </r>
    <r>
      <rPr>
        <b/>
        <sz val="10"/>
        <color rgb="FFFF0000"/>
        <rFont val="等线"/>
        <charset val="134"/>
      </rPr>
      <t>(欧盟公司必填 )</t>
    </r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</si>
  <si>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 xml:space="preserve">企业类型
Type of business
</t>
    </r>
    <r>
      <rPr>
        <sz val="10"/>
        <color rgb="FFFF0000"/>
        <rFont val="等线"/>
        <charset val="134"/>
      </rPr>
      <t>例：有限责任  根据公司实际类型填写</t>
    </r>
  </si>
  <si>
    <t>有限公司、股份有限公司</t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</si>
  <si>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>销售方式
Sales methods</t>
    </r>
  </si>
  <si>
    <r>
      <rPr>
        <b/>
        <sz val="12"/>
        <color theme="1"/>
        <rFont val="等线"/>
        <charset val="134"/>
      </rPr>
      <t xml:space="preserve">法人及联系人信息  </t>
    </r>
    <r>
      <rPr>
        <b/>
        <sz val="10"/>
        <color theme="1"/>
        <rFont val="等线"/>
        <charset val="134"/>
      </rPr>
      <t>legal entity and contact person</t>
    </r>
  </si>
  <si>
    <r>
      <rPr>
        <b/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>法人信息
 Legal Representative</t>
    </r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</si>
  <si>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>法人中文姓名
Chinese name</t>
    </r>
  </si>
  <si>
    <t>门晓媛</t>
  </si>
  <si>
    <r>
      <rPr>
        <sz val="10"/>
        <color rgb="FFFF0000"/>
        <rFont val="等线"/>
        <charset val="134"/>
      </rPr>
      <t>*</t>
    </r>
    <r>
      <rPr>
        <sz val="10"/>
        <rFont val="等线"/>
        <charset val="134"/>
      </rPr>
      <t xml:space="preserve">法人英文姓名
English name
</t>
    </r>
    <r>
      <rPr>
        <sz val="10"/>
        <color rgb="FFFF0000"/>
        <rFont val="等线"/>
        <charset val="134"/>
      </rPr>
      <t>先名后姓，中间用空格分开</t>
    </r>
  </si>
  <si>
    <t>Xiaoyuan Men</t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</si>
  <si>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 xml:space="preserve">法人性别
Gender </t>
    </r>
  </si>
  <si>
    <r>
      <rPr>
        <sz val="10"/>
        <color rgb="FFFF0000"/>
        <rFont val="等线"/>
        <charset val="134"/>
      </rPr>
      <t>*</t>
    </r>
    <r>
      <rPr>
        <sz val="10"/>
        <rFont val="等线"/>
        <charset val="134"/>
      </rPr>
      <t>法人证件类型 
Type of ID</t>
    </r>
  </si>
  <si>
    <t>居民身份证DNI</t>
  </si>
  <si>
    <r>
      <rPr>
        <sz val="10"/>
        <color rgb="FFFF0000"/>
        <rFont val="等线"/>
        <charset val="134"/>
      </rPr>
      <t>*</t>
    </r>
    <r>
      <rPr>
        <sz val="10"/>
        <rFont val="等线"/>
        <charset val="134"/>
      </rPr>
      <t xml:space="preserve">证件号码 </t>
    </r>
    <r>
      <rPr>
        <sz val="10"/>
        <color rgb="FFFF0000"/>
        <rFont val="等线"/>
        <charset val="134"/>
      </rPr>
      <t xml:space="preserve">
ID number</t>
    </r>
  </si>
  <si>
    <t>110221198102254429</t>
  </si>
  <si>
    <r>
      <rPr>
        <b/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>联系人信息
Contact Person</t>
    </r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</si>
  <si>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 xml:space="preserve">联系人英语姓名/English name </t>
    </r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 xml:space="preserve"> 
</t>
    </r>
    <r>
      <rPr>
        <sz val="10"/>
        <color rgb="FFFF0000"/>
        <rFont val="等线"/>
        <charset val="134"/>
      </rPr>
      <t>如：San Zhang （名在前 姓在后）</t>
    </r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</si>
  <si>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 xml:space="preserve">常用联系电话
Contact number
</t>
    </r>
    <r>
      <rPr>
        <sz val="10"/>
        <color rgb="FFFF0000"/>
        <rFont val="等线"/>
        <charset val="134"/>
      </rPr>
      <t>号码前面加国家编号</t>
    </r>
  </si>
  <si>
    <r>
      <rPr>
        <sz val="10"/>
        <color rgb="FFFF0000"/>
        <rFont val="等线"/>
        <charset val="134"/>
      </rPr>
      <t>*</t>
    </r>
    <r>
      <rPr>
        <sz val="10"/>
        <color theme="1"/>
        <rFont val="等线"/>
        <charset val="134"/>
      </rPr>
      <t xml:space="preserve">常用联系邮箱
Contact email
</t>
    </r>
    <r>
      <rPr>
        <sz val="10"/>
        <color rgb="FFFF0000"/>
        <rFont val="等线"/>
        <charset val="134"/>
      </rPr>
      <t>不能与其它公司申请EPR的邮箱一致</t>
    </r>
  </si>
  <si>
    <t>benny@geekstech.cn</t>
  </si>
  <si>
    <r>
      <rPr>
        <b/>
        <sz val="12"/>
        <color theme="1"/>
        <rFont val="等线"/>
        <charset val="134"/>
      </rPr>
      <t>平台信息</t>
    </r>
    <r>
      <rPr>
        <b/>
        <sz val="12"/>
        <color rgb="FFFF0000"/>
        <rFont val="等线"/>
        <charset val="134"/>
      </rPr>
      <t>（跨境电商平台卖家必填）</t>
    </r>
  </si>
  <si>
    <r>
      <rPr>
        <sz val="10"/>
        <rFont val="等线"/>
        <charset val="134"/>
      </rPr>
      <t>电商平台店铺链接
Shop link</t>
    </r>
    <r>
      <rPr>
        <sz val="10"/>
        <color rgb="FFFF0000"/>
        <rFont val="等线"/>
        <charset val="134"/>
      </rPr>
      <t xml:space="preserve">
可看到公司信息的平台链接</t>
    </r>
  </si>
  <si>
    <t>https://www.amazon.fr/sp?seller=A5F7V1NVCKQ69</t>
  </si>
  <si>
    <r>
      <rPr>
        <sz val="10"/>
        <rFont val="等线"/>
        <charset val="134"/>
      </rPr>
      <t xml:space="preserve">店铺后台截图
Shop screenshot
</t>
    </r>
    <r>
      <rPr>
        <sz val="10"/>
        <color rgb="FFFF0000"/>
        <rFont val="等线"/>
        <charset val="134"/>
      </rPr>
      <t>如果链接无法访问，请提供后台信息截图，例如TEMU平台</t>
    </r>
  </si>
  <si>
    <r>
      <rPr>
        <sz val="10"/>
        <color theme="1"/>
        <rFont val="等线"/>
        <charset val="134"/>
      </rPr>
      <t xml:space="preserve">后台地址与营业执照地址是否一致？
</t>
    </r>
    <r>
      <rPr>
        <b/>
        <sz val="10"/>
        <color rgb="FFFF0000"/>
        <rFont val="等线"/>
        <charset val="134"/>
      </rPr>
      <t>（不一致需解释原因)</t>
    </r>
  </si>
  <si>
    <r>
      <rPr>
        <b/>
        <sz val="11"/>
        <color theme="1"/>
        <rFont val="宋体"/>
        <charset val="134"/>
      </rPr>
      <t>西班牙</t>
    </r>
    <r>
      <rPr>
        <b/>
        <sz val="11"/>
        <color theme="1"/>
        <rFont val="Calibri"/>
        <charset val="134"/>
      </rPr>
      <t>WEEE</t>
    </r>
    <r>
      <rPr>
        <b/>
        <sz val="11"/>
        <color theme="1"/>
        <rFont val="宋体"/>
        <charset val="134"/>
      </rPr>
      <t>产品信息</t>
    </r>
    <r>
      <rPr>
        <b/>
        <sz val="11"/>
        <color theme="1"/>
        <rFont val="Calibri"/>
        <charset val="134"/>
      </rPr>
      <t xml:space="preserve"> WEEE Product information</t>
    </r>
  </si>
  <si>
    <r>
      <rPr>
        <b/>
        <sz val="11"/>
        <color rgb="FFFF0000"/>
        <rFont val="Calibri"/>
        <charset val="134"/>
      </rPr>
      <t>*</t>
    </r>
    <r>
      <rPr>
        <b/>
        <sz val="11"/>
        <color rgb="FFFF0000"/>
        <rFont val="宋体"/>
        <charset val="134"/>
      </rPr>
      <t>产品售卖方式</t>
    </r>
    <r>
      <rPr>
        <b/>
        <sz val="11"/>
        <color rgb="FFFF0000"/>
        <rFont val="Calibri"/>
        <charset val="134"/>
      </rPr>
      <t xml:space="preserve"> Método de venta de productos</t>
    </r>
  </si>
  <si>
    <r>
      <rPr>
        <b/>
        <sz val="11"/>
        <color rgb="FFFF0000"/>
        <rFont val="Calibri"/>
        <charset val="134"/>
      </rPr>
      <t>*</t>
    </r>
    <r>
      <rPr>
        <b/>
        <sz val="11"/>
        <color theme="1"/>
        <rFont val="宋体"/>
        <charset val="134"/>
      </rPr>
      <t>所售电子电器设备来源</t>
    </r>
    <r>
      <rPr>
        <b/>
        <sz val="11"/>
        <color theme="1"/>
        <rFont val="Calibri"/>
        <charset val="134"/>
      </rPr>
      <t xml:space="preserve"> Origen de equipos electrónicos y eléctricos</t>
    </r>
  </si>
  <si>
    <r>
      <rPr>
        <sz val="11"/>
        <color theme="1"/>
        <rFont val="宋体"/>
        <charset val="134"/>
      </rPr>
      <t>西班牙</t>
    </r>
    <r>
      <rPr>
        <sz val="11"/>
        <color theme="1"/>
        <rFont val="Calibri"/>
        <charset val="134"/>
      </rPr>
      <t>WEEE</t>
    </r>
    <r>
      <rPr>
        <sz val="11"/>
        <color theme="1"/>
        <rFont val="宋体"/>
        <charset val="134"/>
      </rPr>
      <t>回收设备类别参考</t>
    </r>
    <r>
      <rPr>
        <sz val="11"/>
        <color theme="1"/>
        <rFont val="Calibri"/>
        <charset val="134"/>
      </rPr>
      <t xml:space="preserve"> Categoría de equipos de reciclaje de RAEE españoles</t>
    </r>
  </si>
  <si>
    <r>
      <rPr>
        <b/>
        <sz val="11"/>
        <color rgb="FFFF0000"/>
        <rFont val="Calibri"/>
        <charset val="134"/>
      </rPr>
      <t xml:space="preserve"> *</t>
    </r>
    <r>
      <rPr>
        <b/>
        <sz val="11"/>
        <color rgb="FFFF0000"/>
        <rFont val="宋体"/>
        <charset val="134"/>
      </rPr>
      <t>产品类别</t>
    </r>
    <r>
      <rPr>
        <b/>
        <sz val="11"/>
        <color rgb="FFFF0000"/>
        <rFont val="Calibri"/>
        <charset val="134"/>
      </rPr>
      <t xml:space="preserve">Categoría de producto
</t>
    </r>
    <r>
      <rPr>
        <b/>
        <sz val="11"/>
        <color rgb="FFFF0000"/>
        <rFont val="宋体"/>
        <charset val="134"/>
      </rPr>
      <t>（类别可以下拉列表选择）</t>
    </r>
    <r>
      <rPr>
        <b/>
        <sz val="11"/>
        <color rgb="FFFF0000"/>
        <rFont val="Calibri"/>
        <charset val="134"/>
      </rPr>
      <t xml:space="preserve">
(categories can be selected from a drop-down list) </t>
    </r>
  </si>
  <si>
    <r>
      <rPr>
        <sz val="11"/>
        <color theme="1"/>
        <rFont val="宋体"/>
        <charset val="134"/>
      </rPr>
      <t>产品名称（中英文）</t>
    </r>
    <r>
      <rPr>
        <sz val="11"/>
        <color theme="1"/>
        <rFont val="Calibri"/>
        <charset val="134"/>
      </rPr>
      <t xml:space="preserve"> Nombre del producto (chino e inglés)</t>
    </r>
  </si>
  <si>
    <r>
      <rPr>
        <sz val="11"/>
        <color rgb="FFFF0000"/>
        <rFont val="Calibri"/>
        <charset val="134"/>
      </rPr>
      <t>*</t>
    </r>
    <r>
      <rPr>
        <sz val="11"/>
        <color theme="1"/>
        <rFont val="宋体"/>
        <charset val="134"/>
      </rPr>
      <t>对应的品牌</t>
    </r>
    <r>
      <rPr>
        <sz val="11"/>
        <color theme="1"/>
        <rFont val="Calibri"/>
        <charset val="134"/>
      </rPr>
      <t xml:space="preserve"> Marca correspondiente</t>
    </r>
  </si>
  <si>
    <r>
      <rPr>
        <sz val="11"/>
        <color rgb="FFFF0000"/>
        <rFont val="Calibri"/>
        <charset val="134"/>
      </rPr>
      <t>*</t>
    </r>
    <r>
      <rPr>
        <sz val="11"/>
        <color theme="1"/>
        <rFont val="宋体"/>
        <charset val="134"/>
      </rPr>
      <t>单边最大尺寸</t>
    </r>
    <r>
      <rPr>
        <sz val="11"/>
        <color theme="1"/>
        <rFont val="Calibri"/>
        <charset val="134"/>
      </rPr>
      <t xml:space="preserve"> Tamaño máximo de un solo lado</t>
    </r>
  </si>
  <si>
    <r>
      <rPr>
        <sz val="11"/>
        <color theme="1"/>
        <rFont val="宋体"/>
        <charset val="134"/>
      </rPr>
      <t>产品链接</t>
    </r>
    <r>
      <rPr>
        <sz val="11"/>
        <color theme="1"/>
        <rFont val="Calibri"/>
        <charset val="134"/>
      </rPr>
      <t xml:space="preserve"> Enlaces de productos</t>
    </r>
  </si>
  <si>
    <r>
      <rPr>
        <sz val="11"/>
        <color theme="1"/>
        <rFont val="宋体"/>
        <charset val="134"/>
      </rPr>
      <t>热交换器</t>
    </r>
    <r>
      <rPr>
        <sz val="11"/>
        <color theme="1"/>
        <rFont val="Calibri"/>
        <charset val="134"/>
      </rPr>
      <t>Aparatos de intercambio de temperatura</t>
    </r>
  </si>
  <si>
    <r>
      <rPr>
        <b/>
        <sz val="11"/>
        <color theme="1"/>
        <rFont val="宋体"/>
        <charset val="134"/>
      </rPr>
      <t>西班牙电池法产品信息</t>
    </r>
    <r>
      <rPr>
        <b/>
        <sz val="11"/>
        <color theme="1"/>
        <rFont val="Calibri"/>
        <charset val="134"/>
      </rPr>
      <t xml:space="preserve"> Battery information</t>
    </r>
  </si>
  <si>
    <r>
      <rPr>
        <sz val="11"/>
        <color rgb="FF000000"/>
        <rFont val="Calibri"/>
        <charset val="134"/>
      </rPr>
      <t xml:space="preserve">1. </t>
    </r>
    <r>
      <rPr>
        <sz val="11"/>
        <color rgb="FF000000"/>
        <rFont val="宋体"/>
        <charset val="134"/>
      </rPr>
      <t>公司业务活动的信息</t>
    </r>
    <r>
      <rPr>
        <sz val="11"/>
        <color rgb="FF000000"/>
        <rFont val="Calibri"/>
        <charset val="134"/>
      </rPr>
      <t xml:space="preserve"> Información sobre la actividad de la empresa</t>
    </r>
  </si>
  <si>
    <r>
      <rPr>
        <sz val="11"/>
        <color rgb="FF000000"/>
        <rFont val="宋体"/>
        <charset val="134"/>
      </rPr>
      <t>生产者类型</t>
    </r>
    <r>
      <rPr>
        <sz val="11"/>
        <color rgb="FF000000"/>
        <rFont val="Calibri"/>
        <charset val="134"/>
      </rPr>
      <t xml:space="preserve"> TIPO DE PRODUCTOR A ELEGIR 
</t>
    </r>
    <r>
      <rPr>
        <sz val="11"/>
        <color rgb="FFFF0000"/>
        <rFont val="宋体"/>
        <charset val="134"/>
      </rPr>
      <t>右侧选择一个合适的选项</t>
    </r>
  </si>
  <si>
    <r>
      <rPr>
        <sz val="11"/>
        <color theme="1"/>
        <rFont val="Calibri"/>
        <charset val="134"/>
      </rPr>
      <t>4.</t>
    </r>
    <r>
      <rPr>
        <sz val="11"/>
        <color theme="1"/>
        <rFont val="宋体"/>
        <charset val="134"/>
      </rPr>
      <t>在其他欧盟国家或第三国设立的公司通过远程销售</t>
    </r>
    <r>
      <rPr>
        <sz val="11"/>
        <color theme="1"/>
        <rFont val="Calibri"/>
        <charset val="134"/>
      </rPr>
      <t>Venta de PILAS, ACUMULADORES y/o BATERÍAS a distancia estando establecido en otro Estado UE o Tercer País.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</si>
  <si>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rgb="FF000000"/>
        <rFont val="宋体"/>
        <charset val="134"/>
      </rPr>
      <t>销售方式</t>
    </r>
    <r>
      <rPr>
        <b/>
        <sz val="11"/>
        <color rgb="FF000000"/>
        <rFont val="Calibri"/>
        <charset val="134"/>
      </rPr>
      <t xml:space="preserve"> TÉCNICA DE VENTA A ELEGIR 
</t>
    </r>
    <r>
      <rPr>
        <b/>
        <sz val="11"/>
        <color rgb="FFFF0000"/>
        <rFont val="宋体"/>
        <charset val="134"/>
      </rPr>
      <t>右侧选择一个合适的选项</t>
    </r>
  </si>
  <si>
    <r>
      <rPr>
        <sz val="11"/>
        <color rgb="FF000000"/>
        <rFont val="Calibri"/>
        <charset val="134"/>
      </rPr>
      <t xml:space="preserve">2. </t>
    </r>
    <r>
      <rPr>
        <sz val="11"/>
        <color rgb="FF000000"/>
        <rFont val="宋体"/>
        <charset val="134"/>
      </rPr>
      <t>注册电池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蓄电池产品信息</t>
    </r>
    <r>
      <rPr>
        <sz val="11"/>
        <color rgb="FF000000"/>
        <rFont val="Calibri"/>
        <charset val="134"/>
      </rPr>
      <t xml:space="preserve"> CATEGORIAS Y SUBCATEGORIAS DE PILAS, ACUMULADORES Y BATERÍAS PUESTAS EN EL MERCADO ESPAÑOL (Categorías y subcategorías de pilas, acumuladores y baterías incluidas en el RD 106/2008, de 1 de febrero de pilas y baterías)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</si>
  <si>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theme="1"/>
        <rFont val="宋体"/>
        <charset val="134"/>
      </rPr>
      <t>电池、蓄电池和电池组的类别和子类别</t>
    </r>
    <r>
      <rPr>
        <b/>
        <sz val="11"/>
        <color theme="1"/>
        <rFont val="Calibri"/>
        <charset val="134"/>
      </rPr>
      <t xml:space="preserve">
Categorias y subcategorias de pilas, acumuladores y baterías
</t>
    </r>
    <r>
      <rPr>
        <b/>
        <sz val="11"/>
        <color rgb="FFFF0000"/>
        <rFont val="宋体"/>
        <charset val="134"/>
      </rPr>
      <t>建议注册售卖的所有电池类别</t>
    </r>
    <r>
      <rPr>
        <b/>
        <sz val="11"/>
        <color rgb="FFFF0000"/>
        <rFont val="Calibri"/>
        <charset val="134"/>
      </rPr>
      <t xml:space="preserve">
</t>
    </r>
    <r>
      <rPr>
        <b/>
        <sz val="11"/>
        <color rgb="FFFF0000"/>
        <rFont val="宋体"/>
        <charset val="134"/>
      </rPr>
      <t>（参考右方【电池分类】）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</si>
  <si>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rgb="FF000000"/>
        <rFont val="宋体"/>
        <charset val="134"/>
      </rPr>
      <t>年预估投放到市场的</t>
    </r>
    <r>
      <rPr>
        <b/>
        <sz val="11"/>
        <color rgb="FFFF0000"/>
        <rFont val="宋体"/>
        <charset val="134"/>
      </rPr>
      <t>数量</t>
    </r>
    <r>
      <rPr>
        <b/>
        <sz val="11"/>
        <color rgb="FF000000"/>
        <rFont val="Calibri"/>
        <charset val="134"/>
      </rPr>
      <t xml:space="preserve">
Uds puestas en el mercado (Estimación)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</si>
  <si>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rgb="FF000000"/>
        <rFont val="宋体"/>
        <charset val="134"/>
      </rPr>
      <t>年预估投放到市场的</t>
    </r>
    <r>
      <rPr>
        <b/>
        <sz val="11"/>
        <color rgb="FFFF0000"/>
        <rFont val="宋体"/>
        <charset val="134"/>
      </rPr>
      <t>公斤数</t>
    </r>
    <r>
      <rPr>
        <b/>
        <sz val="11"/>
        <color rgb="FF000000"/>
        <rFont val="Calibri"/>
        <charset val="134"/>
      </rPr>
      <t xml:space="preserve">
Kilos puestos en el mercado(Estimación)
</t>
    </r>
    <r>
      <rPr>
        <b/>
        <sz val="11"/>
        <color rgb="FFFF0000"/>
        <rFont val="宋体"/>
        <charset val="134"/>
      </rPr>
      <t>有公式</t>
    </r>
  </si>
  <si>
    <r>
      <rPr>
        <sz val="11"/>
        <color rgb="FF000000"/>
        <rFont val="宋体"/>
        <charset val="134"/>
      </rPr>
      <t>个</t>
    </r>
    <r>
      <rPr>
        <sz val="11"/>
        <color theme="1"/>
        <rFont val="Calibri"/>
        <charset val="134"/>
      </rPr>
      <t>/</t>
    </r>
    <r>
      <rPr>
        <sz val="11"/>
        <color rgb="FFFF0000"/>
        <rFont val="宋体"/>
        <charset val="134"/>
      </rPr>
      <t>单位重量</t>
    </r>
    <r>
      <rPr>
        <sz val="11"/>
        <color theme="1"/>
        <rFont val="Calibri"/>
        <charset val="134"/>
      </rPr>
      <t xml:space="preserve"> 
Uni/Peso 
</t>
    </r>
    <r>
      <rPr>
        <sz val="11"/>
        <color rgb="FFFF0000"/>
        <rFont val="Calibri"/>
        <charset val="134"/>
      </rPr>
      <t>(g/</t>
    </r>
    <r>
      <rPr>
        <sz val="11"/>
        <color rgb="FFFF0000"/>
        <rFont val="宋体"/>
        <charset val="134"/>
      </rPr>
      <t>克</t>
    </r>
    <r>
      <rPr>
        <sz val="11"/>
        <color rgb="FFFF0000"/>
        <rFont val="Calibri"/>
        <charset val="134"/>
      </rPr>
      <t>)</t>
    </r>
  </si>
  <si>
    <r>
      <rPr>
        <sz val="11"/>
        <color rgb="FF000000"/>
        <rFont val="宋体"/>
        <charset val="134"/>
      </rPr>
      <t>用途</t>
    </r>
    <r>
      <rPr>
        <sz val="11"/>
        <color rgb="FF000000"/>
        <rFont val="Calibri"/>
        <charset val="134"/>
      </rPr>
      <t xml:space="preserve">
Uso
(</t>
    </r>
    <r>
      <rPr>
        <sz val="11"/>
        <color rgb="FF000000"/>
        <rFont val="宋体"/>
        <charset val="134"/>
      </rPr>
      <t>下方选择家用或专业</t>
    </r>
    <r>
      <rPr>
        <sz val="11"/>
        <color rgb="FF000000"/>
        <rFont val="Calibri"/>
        <charset val="134"/>
      </rPr>
      <t>)</t>
    </r>
  </si>
  <si>
    <r>
      <rPr>
        <b/>
        <sz val="11"/>
        <color theme="1"/>
        <rFont val="宋体"/>
        <charset val="134"/>
      </rPr>
      <t>西班牙《包装法》</t>
    </r>
    <r>
      <rPr>
        <b/>
        <sz val="11"/>
        <color theme="1"/>
        <rFont val="Calibri"/>
        <charset val="134"/>
      </rPr>
      <t xml:space="preserve"> (Envases ligeros y papel-cartón)</t>
    </r>
    <r>
      <rPr>
        <b/>
        <sz val="11"/>
        <color theme="1"/>
        <rFont val="宋体"/>
        <charset val="134"/>
      </rPr>
      <t>申请资料表</t>
    </r>
  </si>
  <si>
    <r>
      <rPr>
        <b/>
        <sz val="11"/>
        <color rgb="FFFF0000"/>
        <rFont val="宋体"/>
        <charset val="134"/>
      </rPr>
      <t>*</t>
    </r>
    <r>
      <rPr>
        <b/>
        <sz val="11"/>
        <rFont val="宋体"/>
        <charset val="134"/>
      </rPr>
      <t>行业范围</t>
    </r>
    <r>
      <rPr>
        <b/>
        <sz val="11"/>
        <rFont val="Calibri"/>
        <charset val="134"/>
      </rPr>
      <t xml:space="preserve">
</t>
    </r>
    <r>
      <rPr>
        <b/>
        <sz val="11"/>
        <rFont val="宋体"/>
        <charset val="134"/>
      </rPr>
      <t>（</t>
    </r>
    <r>
      <rPr>
        <b/>
        <sz val="11"/>
        <color rgb="FFFF0000"/>
        <rFont val="宋体"/>
        <charset val="134"/>
      </rPr>
      <t>参考右图，填序号</t>
    </r>
    <r>
      <rPr>
        <b/>
        <sz val="11"/>
        <rFont val="宋体"/>
        <charset val="134"/>
      </rPr>
      <t>）</t>
    </r>
  </si>
  <si>
    <r>
      <rPr>
        <b/>
        <sz val="11"/>
        <color rgb="FFFF0000"/>
        <rFont val="宋体"/>
        <charset val="134"/>
      </rPr>
      <t>*</t>
    </r>
    <r>
      <rPr>
        <b/>
        <sz val="11"/>
        <rFont val="宋体"/>
        <charset val="134"/>
      </rPr>
      <t>公司何时开始向西班牙市场销售</t>
    </r>
    <r>
      <rPr>
        <b/>
        <sz val="11"/>
        <color rgb="FFFF0000"/>
        <rFont val="宋体"/>
        <charset val="134"/>
      </rPr>
      <t>（如不想补申报，建议填写今年）</t>
    </r>
  </si>
  <si>
    <t>2026-2027</t>
  </si>
  <si>
    <r>
      <rPr>
        <sz val="11"/>
        <color theme="1"/>
        <rFont val="宋体"/>
        <charset val="134"/>
      </rPr>
      <t>注册产品信息</t>
    </r>
  </si>
  <si>
    <r>
      <rPr>
        <sz val="11"/>
        <color theme="1"/>
        <rFont val="宋体"/>
        <charset val="134"/>
      </rPr>
      <t>包装品牌名称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</si>
  <si>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theme="1"/>
        <rFont val="宋体"/>
        <charset val="134"/>
      </rPr>
      <t>包装材质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</si>
  <si>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theme="1"/>
        <rFont val="宋体"/>
        <charset val="134"/>
      </rPr>
      <t>包装类型</t>
    </r>
  </si>
  <si>
    <t>是否需要超出标准套餐？</t>
  </si>
  <si>
    <r>
      <rPr>
        <b/>
        <sz val="11"/>
        <color rgb="FFFF0000"/>
        <rFont val="宋体"/>
        <charset val="134"/>
      </rPr>
      <t>*</t>
    </r>
    <r>
      <rPr>
        <b/>
        <sz val="11"/>
        <color theme="1"/>
        <rFont val="宋体"/>
        <charset val="134"/>
      </rPr>
      <t>需要申请的超出部分材料</t>
    </r>
  </si>
  <si>
    <r>
      <rPr>
        <b/>
        <sz val="11"/>
        <color rgb="FFFF0000"/>
        <rFont val="宋体"/>
        <charset val="134"/>
      </rPr>
      <t>*</t>
    </r>
    <r>
      <rPr>
        <b/>
        <sz val="11"/>
        <color theme="1"/>
        <rFont val="宋体"/>
        <charset val="134"/>
      </rPr>
      <t>需要申请的超出部分重量</t>
    </r>
    <r>
      <rPr>
        <b/>
        <sz val="11"/>
        <color theme="1"/>
        <rFont val="Calibri"/>
        <charset val="134"/>
      </rPr>
      <t>KG</t>
    </r>
    <r>
      <rPr>
        <b/>
        <sz val="11"/>
        <color theme="1"/>
        <rFont val="宋体"/>
        <charset val="134"/>
      </rPr>
      <t>（额外收费）</t>
    </r>
  </si>
  <si>
    <t>COOLGEEK</t>
  </si>
  <si>
    <t>纸/纸板（Paper/Cardboard）</t>
  </si>
  <si>
    <t>纸箱/彩盒（Carton）</t>
  </si>
  <si>
    <t>否</t>
  </si>
  <si>
    <t>无</t>
  </si>
  <si>
    <r>
      <rPr>
        <b/>
        <sz val="11"/>
        <color theme="1"/>
        <rFont val="宋体"/>
        <charset val="134"/>
      </rPr>
      <t>荷兰</t>
    </r>
    <r>
      <rPr>
        <b/>
        <sz val="11"/>
        <color theme="1"/>
        <rFont val="Calibri"/>
        <charset val="134"/>
      </rPr>
      <t>WEEE</t>
    </r>
    <r>
      <rPr>
        <b/>
        <sz val="11"/>
        <color theme="1"/>
        <rFont val="宋体"/>
        <charset val="134"/>
      </rPr>
      <t>产品信息</t>
    </r>
    <r>
      <rPr>
        <b/>
        <sz val="11"/>
        <color theme="1"/>
        <rFont val="Calibri"/>
        <charset val="134"/>
      </rPr>
      <t xml:space="preserve"> WEEE Product information</t>
    </r>
  </si>
  <si>
    <r>
      <rPr>
        <b/>
        <sz val="11"/>
        <color rgb="FFFF0000"/>
        <rFont val="宋体"/>
        <charset val="134"/>
      </rPr>
      <t>*</t>
    </r>
    <r>
      <rPr>
        <b/>
        <sz val="11"/>
        <rFont val="宋体"/>
        <charset val="134"/>
      </rPr>
      <t>产品类别</t>
    </r>
    <r>
      <rPr>
        <b/>
        <sz val="11"/>
        <rFont val="Calibri"/>
        <charset val="134"/>
      </rPr>
      <t xml:space="preserve">
Product Categories</t>
    </r>
    <r>
      <rPr>
        <b/>
        <sz val="11"/>
        <color rgb="FFFF0000"/>
        <rFont val="Calibri"/>
        <charset val="134"/>
      </rPr>
      <t xml:space="preserve">
</t>
    </r>
    <r>
      <rPr>
        <b/>
        <sz val="11"/>
        <color rgb="FFFF0000"/>
        <rFont val="宋体"/>
        <charset val="134"/>
      </rPr>
      <t>（类别可以下拉列表选择）</t>
    </r>
    <r>
      <rPr>
        <b/>
        <sz val="11"/>
        <color rgb="FFFF0000"/>
        <rFont val="Calibri"/>
        <charset val="134"/>
      </rPr>
      <t xml:space="preserve">
(categories can be selected from a drop-down list) </t>
    </r>
  </si>
  <si>
    <r>
      <rPr>
        <sz val="11"/>
        <rFont val="宋体"/>
        <charset val="134"/>
      </rPr>
      <t>产品名称</t>
    </r>
    <r>
      <rPr>
        <sz val="11"/>
        <rFont val="Calibri"/>
        <charset val="134"/>
      </rPr>
      <t xml:space="preserve">
Product Name</t>
    </r>
  </si>
  <si>
    <r>
      <rPr>
        <sz val="11"/>
        <rFont val="宋体"/>
        <charset val="134"/>
      </rPr>
      <t>对应的品牌</t>
    </r>
    <r>
      <rPr>
        <sz val="11"/>
        <rFont val="Calibri"/>
        <charset val="134"/>
      </rPr>
      <t>logo
Brand</t>
    </r>
  </si>
  <si>
    <r>
      <rPr>
        <sz val="11"/>
        <rFont val="宋体"/>
        <charset val="134"/>
      </rPr>
      <t>投放荷兰市场时间</t>
    </r>
    <r>
      <rPr>
        <sz val="11"/>
        <rFont val="Calibri"/>
        <charset val="134"/>
      </rPr>
      <t>&amp;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 xml:space="preserve">
Launching time &amp; quantity on the Dutch market</t>
    </r>
  </si>
  <si>
    <r>
      <rPr>
        <sz val="11"/>
        <color rgb="FFFF0000"/>
        <rFont val="宋体"/>
        <charset val="0"/>
      </rPr>
      <t>没填默认按照申请时间</t>
    </r>
  </si>
  <si>
    <t>If no note,the launch on the Dutch market starts at the time of application</t>
  </si>
  <si>
    <r>
      <rPr>
        <b/>
        <sz val="11"/>
        <color theme="1"/>
        <rFont val="宋体"/>
        <charset val="134"/>
      </rPr>
      <t>荷兰电池法信息</t>
    </r>
    <r>
      <rPr>
        <b/>
        <sz val="11"/>
        <color theme="1"/>
        <rFont val="Calibri"/>
        <charset val="134"/>
      </rPr>
      <t xml:space="preserve">Battery product Information </t>
    </r>
  </si>
  <si>
    <r>
      <rPr>
        <b/>
        <sz val="11"/>
        <color rgb="FFFF0000"/>
        <rFont val="宋体"/>
        <charset val="134"/>
      </rPr>
      <t>*</t>
    </r>
    <r>
      <rPr>
        <b/>
        <sz val="11"/>
        <rFont val="宋体"/>
        <charset val="134"/>
      </rPr>
      <t>产品类别</t>
    </r>
    <r>
      <rPr>
        <b/>
        <sz val="11"/>
        <rFont val="Calibri"/>
        <charset val="134"/>
      </rPr>
      <t xml:space="preserve">
Product Categories 
</t>
    </r>
    <r>
      <rPr>
        <b/>
        <sz val="11"/>
        <color rgb="FFFF0000"/>
        <rFont val="宋体"/>
        <charset val="134"/>
      </rPr>
      <t xml:space="preserve">（类别可以下拉列表选择）
(categories can be selected from a drop-down list) </t>
    </r>
  </si>
  <si>
    <r>
      <t>*</t>
    </r>
    <r>
      <rPr>
        <b/>
        <sz val="11"/>
        <rFont val="宋体"/>
        <charset val="134"/>
      </rPr>
      <t>产品成分</t>
    </r>
    <r>
      <rPr>
        <b/>
        <sz val="11"/>
        <rFont val="Calibri"/>
        <charset val="134"/>
      </rPr>
      <t>&amp;</t>
    </r>
    <r>
      <rPr>
        <b/>
        <sz val="11"/>
        <rFont val="宋体"/>
        <charset val="134"/>
      </rPr>
      <t>克重</t>
    </r>
    <r>
      <rPr>
        <b/>
        <sz val="11"/>
        <rFont val="Calibri"/>
        <charset val="134"/>
      </rPr>
      <t xml:space="preserve"> 
Material&amp;Weight</t>
    </r>
  </si>
  <si>
    <t>设备电池 Portable batteries</t>
  </si>
  <si>
    <r>
      <t>锂离子电池</t>
    </r>
    <r>
      <rPr>
        <sz val="11"/>
        <rFont val="Calibri"/>
        <charset val="134"/>
      </rPr>
      <t xml:space="preserve"> 46g</t>
    </r>
  </si>
  <si>
    <r>
      <rPr>
        <b/>
        <sz val="11"/>
        <color theme="1"/>
        <rFont val="宋体"/>
        <charset val="134"/>
      </rPr>
      <t>荷兰包装法信息</t>
    </r>
    <r>
      <rPr>
        <b/>
        <sz val="11"/>
        <color theme="1"/>
        <rFont val="Calibri"/>
        <charset val="134"/>
      </rPr>
      <t xml:space="preserve">
 Packaging Product Information
(registration is only required for estimated quantities over 50t).</t>
    </r>
  </si>
  <si>
    <r>
      <rPr>
        <b/>
        <sz val="11"/>
        <rFont val="宋体"/>
        <charset val="134"/>
      </rPr>
      <t>包装类别</t>
    </r>
    <r>
      <rPr>
        <b/>
        <sz val="11"/>
        <rFont val="Calibri"/>
        <charset val="134"/>
      </rPr>
      <t xml:space="preserve">/Product Categories </t>
    </r>
    <r>
      <rPr>
        <b/>
        <sz val="11"/>
        <color rgb="FFFF0000"/>
        <rFont val="Calibri"/>
        <charset val="134"/>
      </rPr>
      <t>*</t>
    </r>
  </si>
  <si>
    <t xml:space="preserve"> </t>
  </si>
  <si>
    <t>比利时WEEE类别判定参考</t>
  </si>
  <si>
    <t>1. 温度交换设备</t>
  </si>
  <si>
    <r>
      <rPr>
        <b/>
        <sz val="10.5"/>
        <color rgb="FF587D83"/>
        <rFont val="宋体"/>
        <charset val="134"/>
      </rPr>
      <t>家用设备 1.1 用于冷却的温度交换设备（插电式，带压缩机或吸收系统）</t>
    </r>
    <r>
      <rPr>
        <b/>
        <sz val="10.5"/>
        <color rgb="FF587D83"/>
        <rFont val="Lato"/>
        <charset val="134"/>
      </rPr>
      <t> </t>
    </r>
    <r>
      <rPr>
        <b/>
        <sz val="10.5"/>
        <color rgb="FF587D83"/>
        <rFont val="宋体"/>
        <charset val="134"/>
      </rPr>
      <t xml:space="preserve">                                                      如：酒柜/存储柜/气候柜、空调（移动式和插电式，包括气候控制设备和热泵）、冰箱、冰柜（立式和卧式）以及压缩机在底部的冰箱-冰柜组合。</t>
    </r>
  </si>
  <si>
    <t>家用设备 1.2 充油式散热器 
如所有充油式散热器</t>
  </si>
  <si>
    <t>家用设备 1.3 带热泵的大型白色家电 
带热泵的洗衣机、洗烘一体机等，热泵热水器</t>
  </si>
  <si>
    <t>专业设备 1.50 专业专用温度交换设备（插入式或非插入式，带压缩机或吸收系统） 
所有冷藏柜台、展示柜和准备台、所有压缩机在顶部的冰柜和冰箱、冷藏自动售货机、制冰机、气候控制设备（插电式和非插电式，包括空调设备和热泵）、带压缩器的饮水机</t>
  </si>
  <si>
    <t>2. 屏幕、监视器及含有屏幕且表面积 &gt; 100 cm²的设备</t>
  </si>
  <si>
    <t xml:space="preserve">家用设备 2.1 电视屏幕
所有带集成调谐器或将电视信号转换为图像的接口的电视机，包括所有与电视的组合（例如，带 DVD）、便携式电视和"背投电视" </t>
  </si>
  <si>
    <t>家用设备 2.2 监视器 
如无内置调谐器或接口的监视器</t>
  </si>
  <si>
    <t>家用设备 2.3 屏幕面积&gt;100cm²的音频和视频设备 
如相册、相册查看器、数码相框、带屏幕的便携式 DVD 播放器</t>
  </si>
  <si>
    <t>家用设备 2.4 屏幕面积 &gt; 100 cm² 的 ICT 设备 
如笔记本电脑、平板电脑、电子阅读器、一体机、触摸屏、带屏幕的控制面板</t>
  </si>
  <si>
    <t>专业设备 2.50 专用于专业用途的显示器和信息板 
无内置调谐器或接口的监视器、基于 LED 技术的信息板（例如交通标志、停车系统、数字广告等）、工业触摸屏、收银系统的显示器</t>
  </si>
  <si>
    <t>3. 灯具</t>
  </si>
  <si>
    <t>家用设备 3.1 气体放电灯 
气体放电灯（如用于电影放映机、投影、消毒和汽车应用）、紧凑型荧光灯、荧光灯管、霓虹灯、汞蒸气灯、金属卤化物灯。</t>
  </si>
  <si>
    <t>家用设备 3.2 改装（可更换）LED灯 
改装 LED 灯、单独销售的 LED 模块</t>
  </si>
  <si>
    <t>4. 大型设备（任何外部尺寸 &gt; 50 厘米）</t>
  </si>
  <si>
    <t>家用设备 4.1.1 大型白色家电 – 纺织品 &gt; 50 厘米 
洗衣机、洗烘一体机、烘干机（无热泵）</t>
  </si>
  <si>
    <t>家用设备 4.1.2 大型白色家电 – 厨房&gt; 50 厘米 
（微波）炉、抽油烟机、洗碗机、带电气或电子点火的燃气灶、所有嵌入式烹饪设备和/或热板/烤架/保温盘/铁板烧烤盘</t>
  </si>
  <si>
    <t>家用设备 4.1.3 家用、厨房和护理设备（非医用）&gt; 50 厘米 
所有独立式烹饪设备和/或热板/烤架/保温盘/铁板烧烤盘（例如趣味烹饪电器）、按摩设备、牙刷、咖啡机、手表、水壶、搅拌机、压力锅、深油炸锅、美发器、头发和胡须修剪器、美甲紫外线灯、红外线灯、啤酒分配器、情趣玩具、杀虫/灭害/捕鼠/驱虫器等。</t>
  </si>
  <si>
    <t>家用设备 4.1.4 热水器 &gt; 50 cm 
所有电热水器和电热水炉</t>
  </si>
  <si>
    <t>家用设备 4.1.5 蓄热式取暖器 &gt; 50 cm 
所有电蓄热式取暖器</t>
  </si>
  <si>
    <t>家用设备 4.1.6 日光浴床和日光浴室 &gt; 50 厘米 
所有日光浴床和日光浴室</t>
  </si>
  <si>
    <t>家用电器 4.2.1 干湿真空吸尘器和地板清洁器 &gt; 50 厘米 
所有（组合式）干湿真空吸尘器（包括用于电动工具的）、机器人真空吸尘器、地板和蒸汽清洁器、手持式真空吸尘器</t>
  </si>
  <si>
    <t>家用电器 4.2.2 纺织品处理设备 &gt; 50 厘米 
针织机、缝纫机</t>
  </si>
  <si>
    <t>家用电器 4.2.3 熨烫设备 &gt; 50 厘米 
（蒸汽）熨斗、电动熨衣板</t>
  </si>
  <si>
    <t>家用电器 4.3.1 冷却设备（1类设备除外）&gt; 50厘米 
所有基于珀尔帖原理的酒柜、基于珀尔帖原理的温度交换设备</t>
  </si>
  <si>
    <t>家用电器 4.3.2 通风、空调、供暖和水处理设备（第1类器具除外）&gt; 50厘米 
所有电器或电子加热器、无压缩机或吸收系统的除湿机、风扇、空气净化器、软水器</t>
  </si>
  <si>
    <t>家用电器 4.4.1 音频和视频设备&gt; 50厘米 
独立功能的扬声器（按件计回收处理费）、卫星天线、家庭影院套装（按商品参考号申报）</t>
  </si>
  <si>
    <t>家用电器 4.4.2 电动乐器 &gt; 50 厘米 
所有电器或电子乐器，包括乐器的配件和调音设备，玩具除外（参照指令 88/378/EEC）</t>
  </si>
  <si>
    <t>家用电器 4.5.1 电池充电器、电源插座板 &gt; 50 厘米 
电源插座板、多插头适配器、单独销售的电器和电子产品（包括电动工具）电池充电器、单独销售的电源适配器、单独销售的适用于承载电流和电场并具有必要连接器的电缆（包括电动汽车充电电缆）</t>
  </si>
  <si>
    <t>家用电器 4.5.2 墨盒 &gt; 50 厘米 
带电子芯片的墨盒和碳粉盒</t>
  </si>
  <si>
    <t>家用电器 4.5.3 电动汽车充电站 &gt; 50 厘米 
电动汽车充电站</t>
  </si>
  <si>
    <t>家用电器 4.5.4 不间断电源 (UPS) 和电源转换器 &gt; 50 厘米 
不间断电源 ≤1 kVA、独立（非模块化）电源转换器，包括用于光伏装置的</t>
  </si>
  <si>
    <t>家用电器  4.6 灯具 &gt; 50 厘米 
使用电池运行的便携式和固定式照明设备，如手电筒、氛围照明（节日照明、发光（圣诞）人物、 fairy lights 等）、自行车灯、照明设备（包括集成 LED）、装有一个或多个光点的吊扇、使用替代能源（如太阳能）运行的照明设备</t>
  </si>
  <si>
    <t>家用电器 4.7 电器和电子工具、园艺工具、水族箱和池塘配件以及测量和控制仪器（园艺）工具&gt; 50厘米 
电钻、砂光机、锯、带电动机的泵、割草机、乘骑式割草机、金属探测器、水平仪、旋转激光仪、高压清洁器、压缩机、自行车、汽车和摩托车电池充电器、快速启动器、助推器、发电机</t>
  </si>
  <si>
    <t>家用电器 4.8.1 休闲设备、玩具、游戏机及配件 &gt; 50 厘米 
无人机、玩具乐器、带电子功能的玩具、单独销售的视频游戏/游戏机配件</t>
  </si>
  <si>
    <t>家用电器  4.8.2 运动设备 &gt; 50 厘米 
飞镖盘、家用健身车、跑步机、划船机</t>
  </si>
  <si>
    <t>家用电器 4.8.3 电动两轮车 &gt; 50 厘米 
电动自行车、滑板车、赛格威（最大连续额定功率不超过 0.25 kW 和/或助力限速 25 km/h（未经型式认证）的设备）</t>
  </si>
  <si>
    <t xml:space="preserve">家用电器 4.9 家用医疗辅助器具 &gt; 50 厘米 
病床、护理台和椅子、轮椅、婴儿秤
</t>
  </si>
  <si>
    <t>家用电器 4.10 ICT 和办公设备 &gt; 50 厘米 
投影仪（屏幕）、扫描仪、碎纸机、打印机、无屏幕控制面板</t>
  </si>
  <si>
    <t>专业设备 4.50 大型白色家电、纺织品、餐饮和护理设备（非医疗），仅供专业使用&gt; 50厘米 
洗衣机和洗碗机（带或不带热泵）、咖啡机、壁挂式吹风机、毛巾架</t>
  </si>
  <si>
    <t>专业设备 4.51 专业清洁、熨烫和纺织品加工设备 &gt; 50 厘米 
地板抛光机、干湿真空吸尘器、针织机、熨烫机、缝纫机</t>
  </si>
  <si>
    <t>专业设备 4.52 通风、空调、供暖和水处理设备（第1类器具除外），专供专业使用&gt; 50厘米 
专用于专业用途的无压缩机或吸收系统的除湿机</t>
  </si>
  <si>
    <t>专业设备 4.53 专业用途的音频、视频和特效设备 &gt; 50 厘米 
带 XLR 连接器的视听设备、带搬运把手的扬声器、烟雾机、彩纸喷射器、泡泡机、博物馆导览系统、机架单元、混音台</t>
  </si>
  <si>
    <t>专业设备 4.54 专业用途的电动汽车充电站 &gt; 50 厘米 
电动汽车充电站</t>
  </si>
  <si>
    <t>专业设备 4.55 专业用途的不间断电源 (UPS) 和电源转换器 &gt; 50 厘米 
不间断电源 &gt; 1 kVA，模块化电源转换器，包括用于光伏装置的电源转换器</t>
  </si>
  <si>
    <t>专业设备 4.56 专业用途灯具 &gt; 50 厘米 
应急照明、标志照明、路灯、灯箱、公共照明、工地照明、体育场照明、迪斯科舞厅/剧院礼堂照明、发光广告中的灯具</t>
  </si>
  <si>
    <t>专业设备 4.57 专用于专业用途的电器和电子工具、园艺工具、水族箱和池塘配件以及汽车测试和测量设备 &gt; 50 厘米 
轮胎刻槽机、红外烘干机、刹车盘磨床、高压清洁器、压缩机、汽车和摩托车电池充电器、快速启动器、助推器、发电机</t>
  </si>
  <si>
    <t>专业设备 4.58 专用医疗、兽医、牲畜和实验室设备 &gt; 50 厘米 
外科和康复设备、牙科和光学仪器、用于色谱法或其他分离技术的仪器、兽医放射照相、灭菌和清洁设备、脉搏血氧仪、离心机、医院病床</t>
  </si>
  <si>
    <t>专业设备 4.59 专业用途的测量和控制设备 &gt; 50 厘米 
万用表、用于频率模拟和验证的手持设备，温度、射频、电流、电压、光等，用于频率、温度、射频的单一仪表</t>
  </si>
  <si>
    <t>专业设备 4.60 自动售货机（非制冷）&gt; 50 厘米 
老虎机、自动取款机、照相亭、香烟自动售货机</t>
  </si>
  <si>
    <t>专业设备 4.61 热饮自动售货机 &gt; 50 厘米 
所有热饮自动售货机</t>
  </si>
  <si>
    <t xml:space="preserve">专业设备 4.62 专业电器和电子机器及安装 &gt; 50 厘米  </t>
  </si>
  <si>
    <t>专业设备 4.63 专供专业使用的ICT和办公设备&gt; 50厘米 
打印机、收银系统、信箱、机架单元、商店标签、备份设备、条形码扫描器、无人机、专业充电器</t>
  </si>
  <si>
    <t>5. 小型设备（外部尺寸 ≤ 50 cm）</t>
  </si>
  <si>
    <t>家用设备 5.1.1 迷你洗衣机≤50厘米 
洗衣机、洗烘一体机、烘干机（无热泵）</t>
  </si>
  <si>
    <t>家用设备 5.1.2 大型白色家电 – 厨房 ≤ 50 厘米 
（微波）炉、抽油烟机、洗碗机、带电气或电子点火的燃气灶、所有嵌入式烹饪设备和/或热板/烤架/保温盘/铁板烧烤盘</t>
  </si>
  <si>
    <t>家用设备 5.1.3 家用、厨房及护理设备（非医用）≤50厘米 
所有独立式烹饪设备和/或加热板/烤架/盘子加热器/铁板烧烤盘（例如趣味烹饪用具）、按摩设备、牙刷、咖啡机、手表、水壶、搅拌机、压力锅、油炸锅、美发器、头发和胡须修剪器、指甲用紫外线灯、红外线灯、啤酒分配器、情趣玩具、昆虫/害虫/啮齿动物杀灭器/捕捉器/驱虫剂等，所有独立式烹饪设备和/或加热板/烤架/盘子加热器/铁板烧烤盘（例如趣味烹饪用具）、按摩设备、牙刷、咖啡机、手表、水壶、搅拌机、压力锅、油炸锅、美发器、头发和胡须修剪器、指甲用紫外线灯、红外线灯、啤酒分配器、情趣玩具、昆虫/害虫/啮齿动物杀灭器/捕捉器/驱虫剂、电子烟</t>
  </si>
  <si>
    <t>家用设备 5.1.4 热水器 ≤50厘米 
所有电热水器和电热水炉</t>
  </si>
  <si>
    <t>家用设备 5.2.1 干湿两用真空吸尘器和地板清洁器 ≤ 50 cm 
所有（组合式）干湿真空吸尘器（包括用于电动工具的）、机器人真空吸尘器、地板和蒸汽清洁器、手持式真空吸尘器</t>
  </si>
  <si>
    <t>家用设备 5.2.2 纺织品加工设备≤50厘米 
针织机、缝纫机</t>
  </si>
  <si>
    <t>家用设备 5.2.3 熨烫设备≤50厘米 
（蒸汽）熨斗、电动熨衣板</t>
  </si>
  <si>
    <t>家用设备 5.3.1 冷却设备（1类器具除外）≤50厘米 
所有基于帕尔贴原理的葡萄酒冰箱，基于帕尔贴原理的温度交换设备</t>
  </si>
  <si>
    <t>家用设备 5.3.2 通风、空调、供暖和水处理设备（第1类器具除外）≤50厘米 
所有电气或电子加热器、不带压缩机或吸收系统的除湿机、风扇、空气净化器、软水器</t>
  </si>
  <si>
    <t>家用设备 5.4.1 音视频设备≤50厘米 
耳机（包括游戏耳机）、照相机（配件如闪光灯、马达驱动器等仅在单独销售时需要申报）、独立功能的扬声器（按件计回收处理费）、混音器、3D 眼镜、家庭影院套装（按商品参考号申报）、电视解码器（机顶盒）</t>
  </si>
  <si>
    <t xml:space="preserve">家用设备 5.4.2 电动乐器≤50厘米 
所有电器或电子乐器，包括乐器的配件和调音设备，玩具乐器除外（参照指令 88/378/EEC）
</t>
  </si>
  <si>
    <t>家用设备 5.4.3 耳塞式耳机 ≤ 50 厘米 
所有单独销售的耳塞式耳机</t>
  </si>
  <si>
    <t>家用设备 5.5.1 电池充电器、电源适配器、电缆、电源板、插头≤50厘米 
电源插座板、多插头适配器、单独销售的电器和电子产品（包括电动工具）电池充电器、单独销售的电源适配器、单独销售的适用于承载电流和电场并具有必要连接器的电缆（包括电动汽车充电电缆）</t>
  </si>
  <si>
    <t>家用设备 5.5.2 墨盒≤50厘米 
带有电子芯片的墨盒和碳粉盒</t>
  </si>
  <si>
    <t>家用设备 5.5.3 电动汽车充电站≤50厘米 
电动汽车充电站</t>
  </si>
  <si>
    <t>家用设备 5.5.4 不间断电源 (UPS) 和电源转换器 ≤ 50 cm 
不间断电源 ≤1 kVA、独立（非模块化）电源转换器，包括用于光伏装置的</t>
  </si>
  <si>
    <t>家用设备 5.6 灯具≤50厘米 
使用电池运行的便携式和固定式照明设备，如手电筒、氛围照明（节日照明、发光（圣诞）人物、 fairy lights 等）、自行车灯、照明设备（包括集成 LED）、装有一个或多个光点的吊扇、使用替代能源（如太阳能）运行的照明设备、即插即用 LED 灯带</t>
  </si>
  <si>
    <t>家用设备 5.7 电器和电子工具、园艺工具、水族箱和池塘配件以及测量和控制仪器（园艺）工具≤50厘米 
电钻、砂光机、锯、带电动机的泵、割草机、金属探测器、水平仪、旋转激光仪、pH 计、数字卡尺和测距仪、湿度计、水平仪、电池测试仪、安培/电压/欧姆表、能量表/测试仪、高压清洁器、压缩机、自行车、汽车和摩托车电池充电器、快速启动器、助推器、发电机</t>
  </si>
  <si>
    <t>家用设备 5.8.1 休闲设备、玩具、游戏机及配件≤50厘米 
无人机、玩具乐器、带电子功能的玩具、单独销售的视频游戏/游戏机配件（例如，操纵杆）</t>
  </si>
  <si>
    <t>家用设备 5.8.2 运动器材及配件≤50厘米 
健身/骑行电脑、飞镖盘、运动用心率监测器</t>
  </si>
  <si>
    <t>家用设备 5.9 家用医疗辅助器具≤50厘米 
助听器、验孕棒、温度计、血压计、心率监测器</t>
  </si>
  <si>
    <t>家用设备 5.10 烟雾/热量探测器（独立式和非独立式）≤ 50 厘米 
所有烟雾/热量探测器（独立式和非独立式）</t>
  </si>
  <si>
    <t>家用设备 5.11 独立式一氧化碳和气体探测器 ≤ 50 cm 
所有独立式一氧化碳和气体探测器</t>
  </si>
  <si>
    <t>家用设备 5.12 测量和控制设备≤50厘米 
肉类温度计、浴室温度计、秤、酒精测试仪、行李秤、气象站、个人秤等。</t>
  </si>
  <si>
    <t>家用设备 5.13 室内和时钟恒温器及节能设备≤50厘米 
室内和时钟恒温器、定时器</t>
  </si>
  <si>
    <t>家用设备 5.14 小型电气安装材料和家庭自动化≤50厘米 
（遮阳）帘控制器/控制装置、过载和短路保护装置、照明电源和控制装置（驱动器）、预接线电缆管理系统、能源管理和监控系统（能源控制器/电表）、家庭自动化系统 HBES（家庭和楼宇电子系统）和 BACS（楼宇自动化与控制系统）的组件（执行器（开关、调光器）、传感器、电源、输入/输出模块、信号放大器、保险丝、CPU（中央处理单元））、所有插座、开关、连接设备和端子、千瓦时电表、按钮、电容器、探测器、运动探测器</t>
  </si>
  <si>
    <t>专业设备 5.50 仅供专业使用的大型白色家电、纺织品、餐饮和护理设备（非医疗）≤50厘米 
洗衣机和洗碗机（带或不带热泵）、咖啡机、壁挂式吹风机、毛巾架</t>
  </si>
  <si>
    <t>专业设备 5.51 专业清洁、熨烫和纺织加工设备≤50厘米 
地板抛光机、干湿真空吸尘器、针织机、熨烫机、缝纫机</t>
  </si>
  <si>
    <t>专业设备 5.52 通风、空调、供暖和水处理设备（第1类器具除外），仅供专业使用≤50厘米 
专用于专业用途的无压缩机或吸收系统的除湿机</t>
  </si>
  <si>
    <t>专业设备 5.53 专业用途的音频、视频和特效设备≤50厘米 
带 XLR 连接器的视听设备、带搬运把手的扬声器、烟雾机、彩纸喷射器、泡泡机、博物馆导览系统、机架单元、混音台</t>
  </si>
  <si>
    <t>专业设备 5.54 专业用途的电动汽车充电站≤50厘米 
电动汽车充电站</t>
  </si>
  <si>
    <t>专业设备 5.55 专业用途的不间断电源（UPS）和电源转换器≤50厘米 
不间断电源 &gt; 1 kVA，模块化电源转换器，包括用于光伏装置的电源转换器</t>
  </si>
  <si>
    <t>专业设备 5.56 专业用途灯具≤50厘米 
使用电池运行的便携式和固定式照明设备，如手电筒、氛围照明（节日照明、发光（圣诞）人物、 fairy lights 等）、自行车灯、照明设备（包括集成 LED）、装有一个或多个光点的吊扇、使用替代能源（如太阳能）运行的照明设备</t>
  </si>
  <si>
    <t>专业设备 5.57 专业用途的电气和电子工具、园林工具、水族馆和池塘配件以及汽车测试和测量设备 ≤ 50 厘米 
轮胎刻槽机、红外烘干机、刹车盘磨床、高压清洁器、压缩机、汽车和摩托车电池充电器、快速启动器、助推器、发电机</t>
  </si>
  <si>
    <t>专业设备 5.58 仅供专业使用的医疗、兽医、牲畜和实验室设备≤50厘米 
外科和康复设备、牙科和光学仪器、用于色谱法或其他分离技术的仪器、兽医放射照相、灭菌和清洁设备、脉搏血氧仪、离心机</t>
  </si>
  <si>
    <t>专业设备 5.59 专业用途的测量和控制设备≤50厘米 
万用表、用于频率模拟和验证的手持设备，温度、射频、电流、电压、光等，用于频率、温度、射频的单一仪表</t>
  </si>
  <si>
    <t>专业设备 5.60 自动售货机（非制冷）≤50厘米 
老虎机、自动取款机、照相亭、香烟自动售货机</t>
  </si>
  <si>
    <t>专业设备 5.61 非独立式一氧化碳和气体探测器 ≤ 50 cm 
所有非独立式一氧化碳和气体探测器</t>
  </si>
  <si>
    <t>专业设备 5.62 倒车摄像头、盲点摄像头、泊车辅助系统 ≤ 50 cm 
所有倒车摄像头、盲点摄像头、泊车辅助系统</t>
  </si>
  <si>
    <t>6. 小型IT及通信设备（外部尺寸 ≤ 50 cm）</t>
  </si>
  <si>
    <t>家用设备 6.1 ICT 和办公设备 ≤ 50 cm 
投影仪（屏幕）、扫描仪、碎纸机、打印机、单独销售的头戴式耳机（非游戏用）、无屏幕控制面板、智能手机、网络摄像头、单独销售的遥控器、可穿戴设备/智能手表、单独销售的扩展坞、单独销售的电脑键盘、单独销售的电脑鼠标、台式个人电脑、wifi 信号增强器</t>
  </si>
  <si>
    <t>家用设备 6.2 家用（火灾）报警系统、门禁和对讲系统≤50厘米 
门铃、监控摄像头、中央（火灾）报警单元、无屏幕控制面板、对讲系统、对讲机</t>
  </si>
  <si>
    <t>专业设备 6.50 仅供专业使用的ICT和办公设备≤50厘米 
打印机、收银系统、信箱、机架单元、商店标签、备份设备、条形码扫描器、无人机、专业充电器</t>
  </si>
  <si>
    <t>专业设备 6.51 专业用途的（火灾）报警系统、门禁和对讲系统≤50厘米 
监控录像机、证卡读卡器、需要额外安装和/或修改的安防摄像头</t>
  </si>
  <si>
    <t>意大利电池法类别判定参考</t>
  </si>
  <si>
    <t>西班牙电池法类别判定参考</t>
  </si>
  <si>
    <t>瑞典电池法类别判定参考</t>
  </si>
  <si>
    <t>爱尔兰电池类型参考 2026</t>
  </si>
  <si>
    <t>1. 便携式电池（PILE E ACCUMULATORI PORTATILI）</t>
  </si>
  <si>
    <t>1.1 锌碳电池（PILA ZINOO CARBONE）</t>
  </si>
  <si>
    <t>电池类别</t>
  </si>
  <si>
    <t>中文名称</t>
  </si>
  <si>
    <t>临时参考重量</t>
  </si>
  <si>
    <t>7. Portable batteries 便携式电池</t>
  </si>
  <si>
    <t>7.1 Alcaline / Zinc-Carbon / Silveroxide / Zinc 碱性电池 / 锌碳电池 / 氧化银电池 / 锌电池</t>
  </si>
  <si>
    <t>1. 便携式电池 Portable Batteries</t>
  </si>
  <si>
    <t>1.1.1 不可充电 -碱性电池/锌碳电池/锌空电池 Alkaline / Zinc Carbon / Air</t>
  </si>
  <si>
    <t>1.2 锌氯化物电池（PILA ZINOO CLORURO）</t>
  </si>
  <si>
    <t>010101 - Pila botón, Óxido de Manganeso</t>
  </si>
  <si>
    <t>010101 - 纽扣电池，二氧化锰</t>
  </si>
  <si>
    <t>1-10g</t>
  </si>
  <si>
    <t>7.4 Nickel Metal Hydride (NiMH) 镍氢电池</t>
  </si>
  <si>
    <t xml:space="preserve">2. 轻型运输工具（LMT）、L 级，电池重量低于 25 千克 Light Means of Transport (LMT),L Class with batteries under 25kg </t>
  </si>
  <si>
    <t>1.1.2 不可充电 -锂电池 Lithium</t>
  </si>
  <si>
    <t>1.3 碱性电池（PILA ALCALINA）</t>
  </si>
  <si>
    <t>010102 - Pila botón, Óxido de Plata</t>
  </si>
  <si>
    <t>010102 - 纽扣电池，氧化银</t>
  </si>
  <si>
    <t>7.6 Lithium, primary 锂原电池 - 不可充电</t>
  </si>
  <si>
    <t xml:space="preserve">3. 启动、照明和点火电池 (SLI)  Starting, Lighting and Ignition Batteries (SLI) </t>
  </si>
  <si>
    <t>1.1.3 不可充电 -氧化银电池 Silver Oxide</t>
  </si>
  <si>
    <t>1.4 锂电池（PILA AL LITIO）-不可充电</t>
  </si>
  <si>
    <t>010103 - Pila botón, Zinc Aire</t>
  </si>
  <si>
    <t>010103 - 纽扣电池，锌空气</t>
  </si>
  <si>
    <t>7.7 Lithium Ion / Lithium polymer 锂离子电池 / 锂聚合物电池 - 可充电</t>
  </si>
  <si>
    <t xml:space="preserve">4. 电动汽车电池 Electric Vehicles (EV's) </t>
  </si>
  <si>
    <t>1.1.4 不可充电 -其他电池 Other Non Rechargeable</t>
  </si>
  <si>
    <t>1.5 锌空气电池（PILA ZINCO ARIA）</t>
  </si>
  <si>
    <t>010104 - Pila botón, de Litio NO recargable</t>
  </si>
  <si>
    <t>010104 - 纽扣电池，锂电池，非可充电</t>
  </si>
  <si>
    <t>8. Built-in batteries 内置电池</t>
  </si>
  <si>
    <t>8.1 Alcaline / Zinc-Carbon / Silveroxide / Zinc  碱性电池 / 锌碳电池 / 氧化银电池 / 锌电池</t>
  </si>
  <si>
    <t xml:space="preserve">5. 工业电池（5 千克以上和/或仅限工业用途） Industrial Batteries (Over 5kg and / or Industrial purposes only) </t>
  </si>
  <si>
    <t>1.2.1 可充电 -锂离子电池 Lithium Ion</t>
  </si>
  <si>
    <t>1.6 锌银电池（PILA ZINCO ARGENTO）</t>
  </si>
  <si>
    <t>010105 - Pila botón, de otras tecnologías NO recargables</t>
  </si>
  <si>
    <t>010105 - 纽扣电池，其他技术，非可充电</t>
  </si>
  <si>
    <t>8.4 Nickel Metal Hydride (NiMH) 镍氢电池</t>
  </si>
  <si>
    <t>1.2.2 可充电 -锂聚合物电池 Lithium Polymer</t>
  </si>
  <si>
    <t>1.7 铅酸蓄电池（ACCUMULATORI AL PIOMBO）</t>
  </si>
  <si>
    <t>010106 - Pila o batería NO botón, Alcalina</t>
  </si>
  <si>
    <t>010106 - 非纽扣电池，碱性</t>
  </si>
  <si>
    <t>10-50g</t>
  </si>
  <si>
    <t>8.5 Lead (Pb) 铅酸蓄电池</t>
  </si>
  <si>
    <t>1.2.3 可充电 -铅酸电池 Lead Acid</t>
  </si>
  <si>
    <t>1.8 镍镉蓄电池（ACCUMULATORI NICHEL CADMIO）</t>
  </si>
  <si>
    <t>010107 - Pila o batería NO botón, Zinc Carbón</t>
  </si>
  <si>
    <t>010107 - 非纽扣电池，锌碳</t>
  </si>
  <si>
    <t>8.6 Lithium, primary 锂原电池 - 不可充电</t>
  </si>
  <si>
    <t>1.2.4 可充电 -镍镉电池 Ni-Cd</t>
  </si>
  <si>
    <t>1.9 镍氢蓄电池（ACCUMULATORI NICHEL IDRURI METALLICI）</t>
  </si>
  <si>
    <t>010108 - Pila o batería NO botón, Litio NO recargable</t>
  </si>
  <si>
    <t>010108 - 非纽扣电池，锂电池，非可充电</t>
  </si>
  <si>
    <t>8.7 Lithium Ion / Lithium polymer 锂离子电池 / 锂聚合物电池 - 可充电</t>
  </si>
  <si>
    <t>1.2.5 可充电 -镍氢电池 Ni-Mh</t>
  </si>
  <si>
    <t>1.10 锂蓄电池（ACCUMULATORI AL LITIO）-可充电</t>
  </si>
  <si>
    <t>010109 - Pila o batería NO botón, de otras tecnologías NO recargables</t>
  </si>
  <si>
    <t>010109 - 非纽扣电池，其他技术，非可充电</t>
  </si>
  <si>
    <t>9. Small Industrial batteries 小型工业电池</t>
  </si>
  <si>
    <t>9.1 Lead (Pb) 铅酸蓄电池</t>
  </si>
  <si>
    <t>1.2.6 可充电 -其他电池 Other Rechargeable</t>
  </si>
  <si>
    <t>1.11 其他（ALTRO）</t>
  </si>
  <si>
    <t>010201 - Pila botón, de Litio recargable</t>
  </si>
  <si>
    <t>010201 - 纽扣电池，锂电池，可充电</t>
  </si>
  <si>
    <t>9.2 Nickel Metal Hydride (NiMH) 镍氢电池</t>
  </si>
  <si>
    <t>2.1 电动自行车 LMT 1 E Cycles</t>
  </si>
  <si>
    <t>2. 工业蓄电池（ACCUMULATORI INDUSTRIALI）</t>
  </si>
  <si>
    <t>2.1 铅酸蓄电池（PIOMBO）</t>
  </si>
  <si>
    <t>010202 - Pila botón, de otras tecnologías recargables</t>
  </si>
  <si>
    <t>010202 - 纽扣电池，其他技术，可充电</t>
  </si>
  <si>
    <t>9.3 Alcaline / Zinc-Carbon / Silveroxide / Zinc 碱性电池 / 锌碳电池 / 氧化银电池 / 锌电池</t>
  </si>
  <si>
    <t>2.2 电动滑板车 LMT 2 E Scooters</t>
  </si>
  <si>
    <t>2.2 镍镉蓄电池（NICHEL CADMIO）</t>
  </si>
  <si>
    <t>010203 - Pila o batería NO botón, de Litio recargable</t>
  </si>
  <si>
    <t>010203 - 非纽扣电池，锂电池，可充电</t>
  </si>
  <si>
    <t>10-500g</t>
  </si>
  <si>
    <t>9.4 Lithium Ion / Lithium polymer 锂离子电池 / 锂聚合物电池 - 可充电</t>
  </si>
  <si>
    <t>2.3 电动代步工具 （包含：电动轮椅/高尔夫球车等行动辅助设备）LMT 3 E Mobility (Wheelchairs, Golf buggy)</t>
  </si>
  <si>
    <t>2.3 其他（ALTRO）</t>
  </si>
  <si>
    <t>010204 - Pila o batería NO botón, de Plomo-Ácido*</t>
  </si>
  <si>
    <t>010204 - 非纽扣电池，铅酸电池*</t>
  </si>
  <si>
    <t>2.4 其他电动移动设备 （包含：高尔夫球包车/休闲运动设备等）LMT 4 Other Mobility (Golf trolly, leisure equipment)</t>
  </si>
  <si>
    <t>3. 车用蓄电池（ACCUMULATORI VEICOLI）</t>
  </si>
  <si>
    <t>3.1 铅酸蓄电池（PIOMBO）</t>
  </si>
  <si>
    <t>010205 - Pila o batería NO botón, de Níquel-Cadmio (Ni-Cd)</t>
  </si>
  <si>
    <t>010205 - 非纽扣电池，镍镉电池 (Ni-Cd)</t>
  </si>
  <si>
    <t>3.1 所有车辆 All Vehicles</t>
  </si>
  <si>
    <t>3.2 镍镉蓄电池（NICHEL CADMIO）</t>
  </si>
  <si>
    <t>010206 - Pila o batería NO botón, de Níquel-Metal Hidruro (Ni-MH)</t>
  </si>
  <si>
    <t>010206 - 非纽扣电池，镍氢电池 (Ni-MH)</t>
  </si>
  <si>
    <t>4.1 乘用车（M1类）/小型货车（N1类） Passenger Car (M1). Small Van (N1)</t>
  </si>
  <si>
    <t>3.3 其他（ALTRO）</t>
  </si>
  <si>
    <t>010207 - Pila o batería NO botón, de otras tecnologías recargables</t>
  </si>
  <si>
    <t>010207 - 非纽扣电池，其他技术，可充电</t>
  </si>
  <si>
    <t>4.2 摩托车/轻便摩托车（L类车辆，待确认） MotorCycles/Scooters, L Class tbc</t>
  </si>
  <si>
    <t>020101 - Litio NMC (Níquel-Manganeso-Cobalto) - motoS</t>
  </si>
  <si>
    <t>020101 - 锂电池 NMC（三元锂：镍锰钴）- 摩托车</t>
  </si>
  <si>
    <t>1kg-10kg</t>
  </si>
  <si>
    <t>4.3 小型巴士/巴士（M2/M3类）/卡车/货车（N2/N3类） Minibuses/buses (M2/M3)/Trucks/Lorries (N2 N3)</t>
  </si>
  <si>
    <t>020102 - Litio LFP (Litio-Ferrofosfato) - motos</t>
  </si>
  <si>
    <t>020102 - 锂电池 LFP（磷酸铁锂）- 摩托车</t>
  </si>
  <si>
    <t>4.4 挂车（O类） Trailers (O)</t>
  </si>
  <si>
    <t>020103 - Litio Otros - motos</t>
  </si>
  <si>
    <t>020103 - 锂电池 其他 - 摩托车</t>
  </si>
  <si>
    <t xml:space="preserve">5.1 储能系统（ESS） Energy Storage Systems (ESS) </t>
  </si>
  <si>
    <t>020104 - Plomo Ácido - motos</t>
  </si>
  <si>
    <t>020104 - 铅酸电池 - 摩托车</t>
  </si>
  <si>
    <t>5.2 通用电源 (UPS) Universal Power Supply (UPS)</t>
  </si>
  <si>
    <t>020105 - Níquel-Metal Hidruro (Ni-MH) – motos</t>
  </si>
  <si>
    <t>020105 - 镍氢电池 (Ni-MH) – 摩托车</t>
  </si>
  <si>
    <t>5.3 牵引系统 Traction</t>
  </si>
  <si>
    <t>020106 - Otras tecnologías - motos</t>
  </si>
  <si>
    <t>020106 - 其他技术 - 摩托车</t>
  </si>
  <si>
    <t>5.4 农用电池（农场围栏） Agri batteries (Farm Fence)</t>
  </si>
  <si>
    <t>020107 - Litio NMC (Níquel-Manganeso-Cobalto) - otros medios de transporte ligeros (bicicletas, patinetes y similares)</t>
  </si>
  <si>
    <t>020107 - 锂电池 NMC（三元锂）- 其他轻型交通工具（如自行车、电动滑板等）</t>
  </si>
  <si>
    <t>5.5 应急照明电池 Emergency lighting batteries</t>
  </si>
  <si>
    <t>020108 - Litio LFP (Litio-Ferrofosfato) - otros medios de transporte ligeros (bicicletas, patinetes y similares)</t>
  </si>
  <si>
    <t>020108 - 锂电池 LFP（磷酸铁锂）- 其他轻型交通工具（如自行车、电动滑板等）</t>
  </si>
  <si>
    <t>5.6 其他工业电池 Other Industrial batteries</t>
  </si>
  <si>
    <t>020109 - Litio Otros - otros medios de transporte ligeros (bicicletas, patinetes y similares)</t>
  </si>
  <si>
    <t>020109 - 锂电池 其他 - 其他轻型交通工具（如自行车、电动滑板等）</t>
  </si>
  <si>
    <t>020110 - Plomo Ácido - otros medios de transporte ligeros (bicicletas, patinetes y similares)</t>
  </si>
  <si>
    <t>020110 - 铅酸电池 - 其他轻型交通工具（如自行车、电动滑板等）</t>
  </si>
  <si>
    <t>020111 - Níquel-Metal Hidruro (Ni-MH) - otros medios de transporte ligeros (bicicletas, patinetes y similares)</t>
  </si>
  <si>
    <t>020111 - 镍氢电池 (Ni-MH) - 其他轻型交通工具（如自行车、电动滑板等）</t>
  </si>
  <si>
    <t>020112 -Otras tecnologías - otros medios de transporte ligeros (bicicletas, patinetes y similares)</t>
  </si>
  <si>
    <t>020112 - 其他技术 - 其他轻型交通工具（如自行车、电动滑板等）</t>
  </si>
  <si>
    <t>030101 - Plomo Ácido para automoción (arranque, encendido o alumbrado)</t>
  </si>
  <si>
    <t>030101 - 铅酸电池 用于汽车（启动、点火或照明）</t>
  </si>
  <si>
    <t>1kg-25kg</t>
  </si>
  <si>
    <t>030102 - Litio para automoción (arranque, encendido y alumbrado)</t>
  </si>
  <si>
    <t>030102 - 锂电池 用于汽车（启动、点火和照明）</t>
  </si>
  <si>
    <t>030103 - Otras tecnologías para automoción (arranque, encendido o alumbrado)</t>
  </si>
  <si>
    <t>030103 - 其他技术 用于汽车（启动、点火或照明）</t>
  </si>
  <si>
    <t>040101 - Litio (otras químicas) NO recargable industrial</t>
  </si>
  <si>
    <t>040101 - 锂电池（其他化学成分）非可充电 工业用途</t>
  </si>
  <si>
    <t>1kg-100kg+</t>
  </si>
  <si>
    <t>040102 - Alcalina Industrial</t>
  </si>
  <si>
    <t>040102 - 碱性电池 工业用途</t>
  </si>
  <si>
    <t>040103 - Otras tecnologías NO recargables industriales</t>
  </si>
  <si>
    <t>040103 - 其他技术 非可充电 工业用途</t>
  </si>
  <si>
    <t>040201 - Litio NMC (Níquel-Manganeso-Cobalto) industrial</t>
  </si>
  <si>
    <t>040201 - 锂电池 NMC（三元锂）工业用途</t>
  </si>
  <si>
    <t>040202 - Litio LFP (Litio-Ferrofosfato) industrial</t>
  </si>
  <si>
    <t>040202 - 锂电池 LFP（磷酸铁锂）工业用途</t>
  </si>
  <si>
    <t>040203 - Litio Otras tecnologías recargables Industrial</t>
  </si>
  <si>
    <t>040203 - 锂电池 其他技术 可充电 工业用途</t>
  </si>
  <si>
    <t>040204 - Plomo Ácido industrial</t>
  </si>
  <si>
    <t>040204 - 铅酸电池 工业用途</t>
  </si>
  <si>
    <t>040205 - Níquel-Cadmio (Ni-Cd) industrial</t>
  </si>
  <si>
    <t>040205 - 镍镉电池 (Ni-Cd) 工业用途</t>
  </si>
  <si>
    <t>040206 - Níquel-Metal Hidruro (Ni-MH) Industrial</t>
  </si>
  <si>
    <t>040206 - 镍氢电池 (Ni-MH) 工业用途</t>
  </si>
  <si>
    <t>040207 - Otras tecnologías recargables industriales</t>
  </si>
  <si>
    <t>040207 - 其他技术 可充电 工业用途</t>
  </si>
  <si>
    <t>050101 - Litio NMC (Níquel-Manganeso-Cobalto) para vehículos eléctricos/híbridos (tracción)</t>
  </si>
  <si>
    <t>050101 - 锂电池 NMC（三元锂）用于电动/混动车辆（驱动用）</t>
  </si>
  <si>
    <t>050102 - Litio LFP (Litio-Ferrofosfato) para vehículos eléctricos/híbridos (tracción)</t>
  </si>
  <si>
    <t>050102 - 锂电池 LFP（磷酸铁锂）用于电动/混动车辆（驱动用）</t>
  </si>
  <si>
    <t>050103 - Litio Otros para vehículos eléctricos/híbridos (tracción)</t>
  </si>
  <si>
    <t>050103 - 锂电池 其他 用于电动/混动车辆（驱动用）</t>
  </si>
  <si>
    <t>050104 - Níquel-Metal Hidruro (Mi-MH) para vehículos eléctricos/híbridos (tracción)</t>
  </si>
  <si>
    <t>050104 - 镍氢电池 (Ni-MH) 用于电动/混动车辆（驱动用）</t>
  </si>
  <si>
    <t>050105 - Otras tecnologías para vehículos eléctricos/híbridos (tracción)</t>
  </si>
  <si>
    <t>050105 - 其他技术 用于电动/混动车辆（驱动用）</t>
  </si>
  <si>
    <t>瑞典包装法类型参考 2026</t>
  </si>
  <si>
    <t>类型</t>
  </si>
  <si>
    <t>材料描述</t>
  </si>
  <si>
    <t>示例</t>
  </si>
  <si>
    <t>1. 家用包装 HOUSEHOLD- AND SERVICE-PACKAGING (PRIVATE USE)</t>
  </si>
  <si>
    <t>1.1.1 塑料 A类-低费用 Plastic A</t>
  </si>
  <si>
    <t>刚性单一材料包装¹，材质为PET、HDPE、PP、PE、PS或EPS。柔性/薄膜PP或PE包装，单一材料¹，近红外（NIR）可检测颜色²。允许含SiOx、AlOx或≤5% EVOH阻隔层。收缩膜材质需与主体相同。标签材质需与主体相同或为纸质标签。</t>
  </si>
  <si>
    <t>PET瓶、托盘；HDPE和PP容器及管材；PS容器；LDPE薄膜（包括LDPE、LLDPE、MDPE）；PP薄膜</t>
  </si>
  <si>
    <t>1.1.2 塑料 B类-中等费用 Plastic B</t>
  </si>
  <si>
    <t>可材料回收但不符合A类要求的塑料包装。含金属化阻隔层（根据厚度判定）。</t>
  </si>
  <si>
    <t>PE/PP层压材料，密度低于0.97 g/cm³</t>
  </si>
  <si>
    <t>1.1.3 塑料 C类-高费用 Plastic C</t>
  </si>
  <si>
    <t>近红外不可识别或无法材料回收的塑料包装（仅能用于能源回收）
--近红外技术（NIR）通常难以检测黑色或深色塑料，尤其是含碳黑染料的材料。</t>
  </si>
  <si>
    <t>ABS、PA、PLA、可生物降解或氧化降解塑料。</t>
  </si>
  <si>
    <t>1.2.1 纸/纸板 A类-低费用 Paper A</t>
  </si>
  <si>
    <t>纯纸/纸板（纤维）</t>
  </si>
  <si>
    <t>硬纸盒</t>
  </si>
  <si>
    <t>1.2.2 纸/纸板 B类-高费用 Paper B</t>
  </si>
  <si>
    <t>防水纸、与塑料、铝或蜡复合/涂层的纸张，且可溶解并回收纸纤维。无法溶解并用于材料回收的纸复合材料。</t>
  </si>
  <si>
    <t>液体纸板盒；双面涂蜡纸</t>
  </si>
  <si>
    <t>1.3.1 金属-铝 Aluminium</t>
  </si>
  <si>
    <t>所有类别 铝包装（尽可能纯净以保持高回收质量）。</t>
  </si>
  <si>
    <t>杯盖、咖啡胶囊或托盘</t>
  </si>
  <si>
    <t>1.3.2 金属-钢 Sheet steel</t>
  </si>
  <si>
    <t>所有类别 钢/锡包装（尽可能纯净）</t>
  </si>
  <si>
    <t>锡罐</t>
  </si>
  <si>
    <t>1.4.1 玻璃 - 无色（白色） Glass</t>
  </si>
  <si>
    <t>所有类别 无色（白色）玻璃包装（标签优选塑料或纸质）。</t>
  </si>
  <si>
    <t>保存用玻璃罐</t>
  </si>
  <si>
    <t>1.4.2 玻璃 - 有色 Glass</t>
  </si>
  <si>
    <t>所有类别 有色或蚀刻玻璃包装（标签优选塑料或纸质）。</t>
  </si>
  <si>
    <t>啤酒和葡萄酒瓶</t>
  </si>
  <si>
    <t>1.5.1 木材（包括软木）一次性使用 Wood - Single use</t>
  </si>
  <si>
    <t>所有类别 未经预处理且未被列为危险品的木材或软木包装。</t>
  </si>
  <si>
    <t>木箱、一次性托盘</t>
  </si>
  <si>
    <t>1.5.2 木材（包括软木）Wood - System for reuse</t>
  </si>
  <si>
    <t>所有类别 属于回收/重复使用系统的木材包装。</t>
  </si>
  <si>
    <t>EUR托盘、托盘围板</t>
  </si>
  <si>
    <t>1.6 陶瓷包装 Ceramics</t>
  </si>
  <si>
    <t>所有类别 陶瓷包装</t>
  </si>
  <si>
    <t>罐子或盖子</t>
  </si>
  <si>
    <t>1.7 纺织品包装 Textile</t>
  </si>
  <si>
    <t>所有类别 纺织品包装。</t>
  </si>
  <si>
    <t>纺织品包裹或套筒</t>
  </si>
  <si>
    <t>1.8 其他包装材料 Other</t>
  </si>
  <si>
    <t>2. 商业/工业包装（非私人用途）COMMERCIAL-/INDUSTRIAL- PACKAGING (NOT PRIVATE USE)</t>
  </si>
  <si>
    <t>2.1.1 塑料 A类-低费用 Plastic A</t>
  </si>
  <si>
    <t>单一材料的刚性包装¹，材料为PET、HDPE、PP、PE、PS或EPS。 • 单一材料¹的PP或PE柔性/薄膜包装。 • 其他可进行材料回收的塑料材料。 • NIR可检测的颜色²。允许含SiOx、AlOx、≤5% EVOH或金属化（根据厚度而定）的阻隔层。 • 收缩膜需与主体材料相同。 • 标签需与主体材料相同或为纸质标签。</t>
  </si>
  <si>
    <t>PET瓶、托盘。HDPE和PP容器及管材。PS容器。LDPE薄膜（包括LDPE、LLDPE、MDPE）。PP薄膜。密度低于0.97 g/cm³的PE/PP复合材料</t>
  </si>
  <si>
    <t>2.1.2 塑料 B类-高费用 Plastic B</t>
  </si>
  <si>
    <t>填充材料≥5%（占包装总重量）（NFS 2022:11 § 8）。 • 非主导材料占比超过5%的多聚合物材料。 • 无法通过NIR识别或无法进行材料回收的塑料包装（仅可用于能量回收）。 • 只能通过堆肥进行材料回收的塑料包装。</t>
  </si>
  <si>
    <t>2.2.1 纸/纸板 A类-低费用 Paper A</t>
  </si>
  <si>
    <t>2.2.2 纸/纸板 B类-高费用 Paper B</t>
  </si>
  <si>
    <t>2.3.1 金属-铝 Steel</t>
  </si>
  <si>
    <t>2.3.2 金属-钢 Aluminium</t>
  </si>
  <si>
    <t>2.4.1 玻璃 - 无色（白色） Glass</t>
  </si>
  <si>
    <t>2.4.2 玻璃 - 有色 Glass</t>
  </si>
  <si>
    <t>2.5.1 木材（包括软木）一次性使用 Wood - Single use</t>
  </si>
  <si>
    <t>所有类别 木质或软木包装，不属于危险品。</t>
  </si>
  <si>
    <t>2.5.2 木材（包括软木）Wood - System for reuse</t>
  </si>
  <si>
    <t>2.6 陶瓷包装 Ceramics</t>
  </si>
  <si>
    <t>2.7 纺织品包装 Textile</t>
  </si>
  <si>
    <t>2.8 其他包装材料 Other</t>
  </si>
  <si>
    <t>波兰包装法分类</t>
  </si>
  <si>
    <t>纸质（如纸板/纸盒）Paper and Cardboard</t>
  </si>
  <si>
    <t>塑料Plastic</t>
  </si>
  <si>
    <t>金属（如铁、钢材）Metal Steel</t>
  </si>
  <si>
    <t>铝Aluminum</t>
  </si>
  <si>
    <t>玻璃 Glass</t>
  </si>
  <si>
    <t>木材（如托盘） Wood (eg. Pallets)</t>
  </si>
  <si>
    <t>混合材料Mixed Materials</t>
  </si>
  <si>
    <t>危险品包装Packaging for hazardous substances</t>
  </si>
  <si>
    <t>其他other</t>
  </si>
  <si>
    <t>爱尔兰包装法分类</t>
  </si>
  <si>
    <t>1. 食品与饮料 (Food &amp; Beverage)</t>
  </si>
  <si>
    <r>
      <rPr>
        <sz val="12"/>
        <color rgb="FF0F1115"/>
        <rFont val="Segoe UI"/>
        <charset val="134"/>
      </rPr>
      <t>食品制造</t>
    </r>
    <r>
      <rPr>
        <sz val="12"/>
        <color rgb="FF0F1115"/>
        <rFont val="Segoe UI"/>
        <charset val="134"/>
      </rPr>
      <t> (Food Manufacturing)</t>
    </r>
  </si>
  <si>
    <r>
      <rPr>
        <sz val="12"/>
        <color rgb="FF0F1115"/>
        <rFont val="Segoe UI"/>
        <charset val="134"/>
      </rPr>
      <t>饮料生产</t>
    </r>
    <r>
      <rPr>
        <sz val="12"/>
        <color rgb="FF0F1115"/>
        <rFont val="Segoe UI"/>
        <charset val="134"/>
      </rPr>
      <t> (Beverage Production)</t>
    </r>
  </si>
  <si>
    <r>
      <rPr>
        <sz val="12"/>
        <color rgb="FF0F1115"/>
        <rFont val="Segoe UI"/>
        <charset val="134"/>
      </rPr>
      <t>酒类酿造</t>
    </r>
    <r>
      <rPr>
        <sz val="12"/>
        <color rgb="FF0F1115"/>
        <rFont val="Segoe UI"/>
        <charset val="134"/>
      </rPr>
      <t> (Alcoholic Drinks)</t>
    </r>
  </si>
  <si>
    <r>
      <rPr>
        <sz val="12"/>
        <color rgb="FF0F1115"/>
        <rFont val="Segoe UI"/>
        <charset val="134"/>
      </rPr>
      <t>乳制品加工</t>
    </r>
    <r>
      <rPr>
        <sz val="12"/>
        <color rgb="FF0F1115"/>
        <rFont val="Segoe UI"/>
        <charset val="134"/>
      </rPr>
      <t> (Dairy Processing)</t>
    </r>
  </si>
  <si>
    <t>2. 零售与批发 (Retail &amp; Wholesale)</t>
  </si>
  <si>
    <r>
      <rPr>
        <sz val="12"/>
        <color rgb="FF0F1115"/>
        <rFont val="Segoe UI"/>
        <charset val="134"/>
      </rPr>
      <t>超市/大卖场</t>
    </r>
    <r>
      <rPr>
        <sz val="12"/>
        <color rgb="FF0F1115"/>
        <rFont val="Segoe UI"/>
        <charset val="134"/>
      </rPr>
      <t> (Supermarkets/Hypermarkets)</t>
    </r>
  </si>
  <si>
    <r>
      <rPr>
        <sz val="12"/>
        <color rgb="FF0F1115"/>
        <rFont val="Segoe UI"/>
        <charset val="134"/>
      </rPr>
      <t>百货商店</t>
    </r>
    <r>
      <rPr>
        <sz val="12"/>
        <color rgb="FF0F1115"/>
        <rFont val="Segoe UI"/>
        <charset val="134"/>
      </rPr>
      <t> (Department Stores)</t>
    </r>
  </si>
  <si>
    <r>
      <rPr>
        <sz val="12"/>
        <color rgb="FF0F1115"/>
        <rFont val="Segoe UI"/>
        <charset val="134"/>
      </rPr>
      <t>专业零售</t>
    </r>
    <r>
      <rPr>
        <sz val="12"/>
        <color rgb="FF0F1115"/>
        <rFont val="Segoe UI"/>
        <charset val="134"/>
      </rPr>
      <t> (Specialist Retail)</t>
    </r>
  </si>
  <si>
    <r>
      <rPr>
        <sz val="12"/>
        <color rgb="FF0F1115"/>
        <rFont val="Segoe UI"/>
        <charset val="134"/>
      </rPr>
      <t>电子商务</t>
    </r>
    <r>
      <rPr>
        <sz val="12"/>
        <color rgb="FF0F1115"/>
        <rFont val="Segoe UI"/>
        <charset val="134"/>
      </rPr>
      <t> (E-commerce)</t>
    </r>
  </si>
  <si>
    <r>
      <rPr>
        <sz val="12"/>
        <color rgb="FF0F1115"/>
        <rFont val="Segoe UI"/>
        <charset val="134"/>
      </rPr>
      <t>批发分销</t>
    </r>
    <r>
      <rPr>
        <sz val="12"/>
        <color rgb="FF0F1115"/>
        <rFont val="Segoe UI"/>
        <charset val="134"/>
      </rPr>
      <t> (Wholesale/Distribution)</t>
    </r>
  </si>
  <si>
    <t>3. 制造与工业 (Manufacturing &amp; Industrial)</t>
  </si>
  <si>
    <r>
      <rPr>
        <sz val="12"/>
        <color rgb="FF0F1115"/>
        <rFont val="Segoe UI"/>
        <charset val="134"/>
      </rPr>
      <t>电子产品制造</t>
    </r>
    <r>
      <rPr>
        <sz val="12"/>
        <color rgb="FF0F1115"/>
        <rFont val="Segoe UI"/>
        <charset val="134"/>
      </rPr>
      <t> (Electronics Manufacturing)</t>
    </r>
  </si>
  <si>
    <r>
      <rPr>
        <sz val="12"/>
        <color rgb="FF0F1115"/>
        <rFont val="Segoe UI"/>
        <charset val="134"/>
      </rPr>
      <t>化工产品</t>
    </r>
    <r>
      <rPr>
        <sz val="12"/>
        <color rgb="FF0F1115"/>
        <rFont val="Segoe UI"/>
        <charset val="134"/>
      </rPr>
      <t> (Chemical Products)</t>
    </r>
  </si>
  <si>
    <r>
      <rPr>
        <sz val="12"/>
        <color rgb="FF0F1115"/>
        <rFont val="Segoe UI"/>
        <charset val="134"/>
      </rPr>
      <t>汽车制造</t>
    </r>
    <r>
      <rPr>
        <sz val="12"/>
        <color rgb="FF0F1115"/>
        <rFont val="Segoe UI"/>
        <charset val="134"/>
      </rPr>
      <t> (Automotive Manufacturing)</t>
    </r>
  </si>
  <si>
    <r>
      <rPr>
        <sz val="12"/>
        <color rgb="FF0F1115"/>
        <rFont val="Segoe UI"/>
        <charset val="134"/>
      </rPr>
      <t>制药业</t>
    </r>
    <r>
      <rPr>
        <sz val="12"/>
        <color rgb="FF0F1115"/>
        <rFont val="Segoe UI"/>
        <charset val="134"/>
      </rPr>
      <t> (Pharmaceuticals)</t>
    </r>
  </si>
  <si>
    <r>
      <rPr>
        <sz val="12"/>
        <color rgb="FF0F1115"/>
        <rFont val="Segoe UI"/>
        <charset val="134"/>
      </rPr>
      <t>建材生产</t>
    </r>
    <r>
      <rPr>
        <sz val="12"/>
        <color rgb="FF0F1115"/>
        <rFont val="Segoe UI"/>
        <charset val="134"/>
      </rPr>
      <t> (Building Materials)</t>
    </r>
  </si>
  <si>
    <t>4. 家庭与消费品 (Household &amp; Consumer Goods)</t>
  </si>
  <si>
    <r>
      <rPr>
        <sz val="12"/>
        <color rgb="FF0F1115"/>
        <rFont val="Segoe UI"/>
        <charset val="134"/>
      </rPr>
      <t>化妆品与个护</t>
    </r>
    <r>
      <rPr>
        <sz val="12"/>
        <color rgb="FF0F1115"/>
        <rFont val="Segoe UI"/>
        <charset val="134"/>
      </rPr>
      <t> (Cosmetics &amp; Personal Care)</t>
    </r>
  </si>
  <si>
    <r>
      <rPr>
        <sz val="12"/>
        <color rgb="FF0F1115"/>
        <rFont val="Segoe UI"/>
        <charset val="134"/>
      </rPr>
      <t>家用清洁产品</t>
    </r>
    <r>
      <rPr>
        <sz val="12"/>
        <color rgb="FF0F1115"/>
        <rFont val="Segoe UI"/>
        <charset val="134"/>
      </rPr>
      <t> (Household Cleaning Products)</t>
    </r>
  </si>
  <si>
    <r>
      <rPr>
        <sz val="12"/>
        <color rgb="FF0F1115"/>
        <rFont val="Segoe UI"/>
        <charset val="134"/>
      </rPr>
      <t>纺织品与服装</t>
    </r>
    <r>
      <rPr>
        <sz val="12"/>
        <color rgb="FF0F1115"/>
        <rFont val="Segoe UI"/>
        <charset val="134"/>
      </rPr>
      <t> (Textiles &amp; Apparel)</t>
    </r>
  </si>
  <si>
    <t>5. 服务与其他 (Services &amp; Others)</t>
  </si>
  <si>
    <r>
      <rPr>
        <sz val="12"/>
        <color rgb="FF0F1115"/>
        <rFont val="Segoe UI"/>
        <charset val="134"/>
      </rPr>
      <t>物流与运输</t>
    </r>
    <r>
      <rPr>
        <sz val="12"/>
        <color rgb="FF0F1115"/>
        <rFont val="Segoe UI"/>
        <charset val="134"/>
      </rPr>
      <t> (Logistics &amp; Transport)</t>
    </r>
  </si>
  <si>
    <r>
      <rPr>
        <sz val="12"/>
        <color rgb="FF0F1115"/>
        <rFont val="Segoe UI"/>
        <charset val="134"/>
      </rPr>
      <t>餐饮服务</t>
    </r>
    <r>
      <rPr>
        <sz val="12"/>
        <color rgb="FF0F1115"/>
        <rFont val="Segoe UI"/>
        <charset val="134"/>
      </rPr>
      <t> (Catering Services)</t>
    </r>
  </si>
  <si>
    <r>
      <rPr>
        <sz val="12"/>
        <color rgb="FF0F1115"/>
        <rFont val="Segoe UI"/>
        <charset val="134"/>
      </rPr>
      <t>酒店业</t>
    </r>
    <r>
      <rPr>
        <sz val="12"/>
        <color rgb="FF0F1115"/>
        <rFont val="Segoe UI"/>
        <charset val="134"/>
      </rPr>
      <t> (Hospitality)</t>
    </r>
  </si>
  <si>
    <r>
      <rPr>
        <sz val="12"/>
        <color rgb="FF0F1115"/>
        <rFont val="Segoe UI"/>
        <charset val="134"/>
      </rPr>
      <t>农业与园艺</t>
    </r>
    <r>
      <rPr>
        <sz val="12"/>
        <color rgb="FF0F1115"/>
        <rFont val="Segoe UI"/>
        <charset val="134"/>
      </rPr>
      <t> (Agriculture &amp; Horticulture)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</si>
</sst>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黑体"/>
      <charset val="134"/>
    </font>
    <font>
      <b/>
      <sz val="12"/>
      <color rgb="FF0F1115"/>
      <name val="Segoe UI"/>
      <charset val="134"/>
    </font>
    <font>
      <sz val="12"/>
      <color rgb="FF0F1115"/>
      <name val="Segoe UI"/>
      <charset val="134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12"/>
      <color rgb="FFC00000"/>
      <name val="微软雅黑"/>
      <charset val="134"/>
    </font>
    <font>
      <sz val="11"/>
      <name val="宋体"/>
      <charset val="134"/>
      <scheme val="minor"/>
    </font>
    <font>
      <sz val="12"/>
      <color theme="7" tint="-0.25"/>
      <name val="微软雅黑"/>
      <charset val="134"/>
    </font>
    <font>
      <sz val="12"/>
      <color rgb="FF7030A0"/>
      <name val="微软雅黑"/>
      <charset val="134"/>
    </font>
    <font>
      <b/>
      <sz val="14"/>
      <color theme="1"/>
      <name val="宋体"/>
      <charset val="134"/>
      <scheme val="minor"/>
    </font>
    <font>
      <b/>
      <sz val="12"/>
      <color rgb="FF404040"/>
      <name val="微软雅黑"/>
      <charset val="134"/>
    </font>
    <font>
      <b/>
      <sz val="10.5"/>
      <color rgb="FF587D83"/>
      <name val="宋体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rgb="FFFF0000"/>
      <name val="宋体"/>
      <charset val="134"/>
    </font>
    <font>
      <sz val="11"/>
      <name val="Calibri"/>
      <charset val="134"/>
    </font>
    <font>
      <sz val="11"/>
      <color rgb="FFFF0000"/>
      <name val="Calibri"/>
      <charset val="0"/>
    </font>
    <font>
      <u/>
      <sz val="11"/>
      <color rgb="FF0000FF"/>
      <name val="Calibri"/>
      <charset val="0"/>
    </font>
    <font>
      <sz val="11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11"/>
      <color rgb="FF404040"/>
      <name val="Calibri"/>
      <charset val="134"/>
    </font>
    <font>
      <sz val="11"/>
      <color theme="0" tint="-0.499984740745262"/>
      <name val="Calibri"/>
      <charset val="134"/>
    </font>
    <font>
      <b/>
      <sz val="11"/>
      <color rgb="FFFF0000"/>
      <name val="Calibri"/>
      <charset val="134"/>
    </font>
    <font>
      <sz val="11"/>
      <color rgb="FFFF0000"/>
      <name val="Calibri"/>
      <charset val="134"/>
    </font>
    <font>
      <sz val="11"/>
      <color rgb="FF000000"/>
      <name val="Calibri"/>
      <charset val="134"/>
    </font>
    <font>
      <b/>
      <sz val="11"/>
      <name val="Calibri"/>
      <charset val="134"/>
    </font>
    <font>
      <u/>
      <sz val="11"/>
      <color rgb="FF800080"/>
      <name val="Calibri"/>
      <charset val="0"/>
    </font>
    <font>
      <sz val="11"/>
      <color theme="1"/>
      <name val="宋体"/>
      <charset val="134"/>
    </font>
    <font>
      <sz val="10"/>
      <color theme="1"/>
      <name val="等线"/>
      <charset val="134"/>
    </font>
    <font>
      <b/>
      <sz val="26"/>
      <color theme="0"/>
      <name val="等线"/>
      <charset val="134"/>
    </font>
    <font>
      <b/>
      <sz val="26"/>
      <color theme="1"/>
      <name val="等线"/>
      <charset val="134"/>
    </font>
    <font>
      <b/>
      <sz val="12"/>
      <color theme="1"/>
      <name val="等线"/>
      <charset val="134"/>
    </font>
    <font>
      <sz val="10"/>
      <color theme="1"/>
      <name val="Calibri"/>
      <charset val="134"/>
    </font>
    <font>
      <sz val="12"/>
      <color theme="1"/>
      <name val="等线"/>
      <charset val="134"/>
    </font>
    <font>
      <b/>
      <sz val="10"/>
      <color theme="1"/>
      <name val="等线"/>
      <charset val="134"/>
    </font>
    <font>
      <sz val="10"/>
      <color rgb="FFFF0000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b/>
      <sz val="10"/>
      <color rgb="FFFF0000"/>
      <name val="等线"/>
      <charset val="134"/>
    </font>
    <font>
      <b/>
      <sz val="10"/>
      <color rgb="FFFF0000"/>
      <name val="等线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12"/>
      <color rgb="FFFF0000"/>
      <name val="等线"/>
      <charset val="134"/>
    </font>
    <font>
      <sz val="12"/>
      <name val="等线"/>
      <charset val="134"/>
    </font>
    <font>
      <b/>
      <sz val="11"/>
      <color rgb="FF000000"/>
      <name val="宋体"/>
      <charset val="134"/>
    </font>
    <font>
      <b/>
      <sz val="11"/>
      <color rgb="FF000000"/>
      <name val="Calibri"/>
      <charset val="134"/>
    </font>
    <font>
      <b/>
      <sz val="10.5"/>
      <color rgb="FF587D83"/>
      <name val="Lato"/>
      <charset val="134"/>
    </font>
    <font>
      <sz val="11"/>
      <color rgb="FFFF0000"/>
      <name val="宋体"/>
      <charset val="0"/>
    </font>
    <font>
      <b/>
      <sz val="18"/>
      <color theme="0"/>
      <name val="等线"/>
      <charset val="134"/>
    </font>
  </fonts>
  <fills count="4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E3F4"/>
        <bgColor rgb="FFDAE3F4"/>
      </patternFill>
    </fill>
    <fill>
      <patternFill patternType="solid">
        <fgColor rgb="FFF2F2F2"/>
        <bgColor rgb="FFF2F2F2"/>
      </patternFill>
    </fill>
    <fill>
      <patternFill patternType="solid">
        <fgColor rgb="FFE3F1D9"/>
        <bgColor rgb="FFE3F1D9"/>
      </patternFill>
    </fill>
    <fill>
      <patternFill patternType="solid">
        <fgColor rgb="FFFEF2CA"/>
        <bgColor rgb="FFFEF2CA"/>
      </patternFill>
    </fill>
    <fill>
      <patternFill patternType="solid">
        <fgColor rgb="FFFFFFFF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4" borderId="50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51" applyNumberFormat="0" applyFill="0" applyAlignment="0" applyProtection="0">
      <alignment vertical="center"/>
    </xf>
    <xf numFmtId="0" fontId="50" fillId="0" borderId="51" applyNumberFormat="0" applyFill="0" applyAlignment="0" applyProtection="0">
      <alignment vertical="center"/>
    </xf>
    <xf numFmtId="0" fontId="51" fillId="0" borderId="52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5" borderId="53" applyNumberFormat="0" applyAlignment="0" applyProtection="0">
      <alignment vertical="center"/>
    </xf>
    <xf numFmtId="0" fontId="53" fillId="16" borderId="54" applyNumberFormat="0" applyAlignment="0" applyProtection="0">
      <alignment vertical="center"/>
    </xf>
    <xf numFmtId="0" fontId="54" fillId="16" borderId="53" applyNumberFormat="0" applyAlignment="0" applyProtection="0">
      <alignment vertical="center"/>
    </xf>
    <xf numFmtId="0" fontId="55" fillId="17" borderId="55" applyNumberFormat="0" applyAlignment="0" applyProtection="0">
      <alignment vertical="center"/>
    </xf>
    <xf numFmtId="0" fontId="56" fillId="0" borderId="56" applyNumberFormat="0" applyFill="0" applyAlignment="0" applyProtection="0">
      <alignment vertical="center"/>
    </xf>
    <xf numFmtId="0" fontId="57" fillId="0" borderId="57" applyNumberFormat="0" applyFill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2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 wrapText="1"/>
    </xf>
    <xf numFmtId="0" fontId="0" fillId="0" borderId="9" xfId="0" applyFill="1" applyBorder="1" applyAlignment="1">
      <alignment vertical="center"/>
    </xf>
    <xf numFmtId="0" fontId="2" fillId="2" borderId="10" xfId="0" applyFont="1" applyFill="1" applyBorder="1">
      <alignment vertical="center"/>
    </xf>
    <xf numFmtId="0" fontId="3" fillId="3" borderId="11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2" fillId="2" borderId="0" xfId="0" applyFont="1" applyFill="1">
      <alignment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 wrapText="1" indent="1"/>
    </xf>
    <xf numFmtId="0" fontId="0" fillId="0" borderId="0" xfId="0" applyFill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center"/>
    </xf>
    <xf numFmtId="0" fontId="6" fillId="0" borderId="4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13" xfId="0" applyFill="1" applyBorder="1" applyAlignment="1">
      <alignment vertical="center" wrapText="1"/>
    </xf>
    <xf numFmtId="0" fontId="0" fillId="0" borderId="10" xfId="0" applyFill="1" applyBorder="1" applyAlignment="1">
      <alignment vertical="center"/>
    </xf>
    <xf numFmtId="0" fontId="7" fillId="0" borderId="4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15" xfId="0" applyFill="1" applyBorder="1" applyAlignment="1">
      <alignment vertical="center" wrapText="1"/>
    </xf>
    <xf numFmtId="0" fontId="0" fillId="0" borderId="17" xfId="0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7" fillId="6" borderId="4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vertical="center"/>
    </xf>
    <xf numFmtId="0" fontId="0" fillId="0" borderId="18" xfId="0" applyFill="1" applyBorder="1" applyAlignment="1">
      <alignment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0" fillId="0" borderId="20" xfId="0" applyFill="1" applyBorder="1" applyAlignment="1">
      <alignment vertical="center"/>
    </xf>
    <xf numFmtId="0" fontId="7" fillId="0" borderId="7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 wrapText="1"/>
    </xf>
    <xf numFmtId="0" fontId="14" fillId="9" borderId="5" xfId="0" applyFont="1" applyFill="1" applyBorder="1" applyAlignment="1">
      <alignment vertical="top" wrapText="1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horizontal="left" vertical="center"/>
    </xf>
    <xf numFmtId="0" fontId="15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center"/>
    </xf>
    <xf numFmtId="0" fontId="16" fillId="10" borderId="5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vertical="center" wrapText="1"/>
    </xf>
    <xf numFmtId="0" fontId="18" fillId="0" borderId="5" xfId="0" applyFont="1" applyFill="1" applyBorder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18" fillId="0" borderId="5" xfId="0" applyFont="1" applyFill="1" applyBorder="1" applyAlignment="1">
      <alignment vertical="center"/>
    </xf>
    <xf numFmtId="0" fontId="19" fillId="0" borderId="5" xfId="6" applyFont="1" applyBorder="1">
      <alignment vertical="center"/>
    </xf>
    <xf numFmtId="0" fontId="19" fillId="0" borderId="5" xfId="6" applyFont="1" applyBorder="1" applyAlignment="1">
      <alignment vertical="center" wrapText="1"/>
    </xf>
    <xf numFmtId="0" fontId="20" fillId="0" borderId="5" xfId="6" applyFont="1" applyBorder="1">
      <alignment vertical="center"/>
    </xf>
    <xf numFmtId="0" fontId="21" fillId="0" borderId="5" xfId="0" applyFont="1" applyFill="1" applyBorder="1" applyAlignment="1">
      <alignment vertical="center"/>
    </xf>
    <xf numFmtId="0" fontId="22" fillId="10" borderId="5" xfId="0" applyFont="1" applyFill="1" applyBorder="1" applyAlignment="1">
      <alignment horizontal="center" vertical="center" wrapText="1"/>
    </xf>
    <xf numFmtId="0" fontId="23" fillId="0" borderId="5" xfId="0" applyFont="1" applyFill="1" applyBorder="1" applyAlignment="1">
      <alignment vertical="center"/>
    </xf>
    <xf numFmtId="0" fontId="18" fillId="0" borderId="5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vertical="center"/>
    </xf>
    <xf numFmtId="0" fontId="24" fillId="9" borderId="21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 wrapText="1"/>
    </xf>
    <xf numFmtId="0" fontId="25" fillId="0" borderId="0" xfId="0" applyFont="1" applyFill="1" applyBorder="1" applyAlignment="1">
      <alignment vertical="center"/>
    </xf>
    <xf numFmtId="0" fontId="15" fillId="0" borderId="0" xfId="0" applyFont="1">
      <alignment vertical="center"/>
    </xf>
    <xf numFmtId="0" fontId="26" fillId="0" borderId="5" xfId="0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/>
    <xf numFmtId="0" fontId="15" fillId="0" borderId="5" xfId="0" applyFont="1" applyFill="1" applyBorder="1" applyAlignment="1">
      <alignment vertical="center" wrapText="1"/>
    </xf>
    <xf numFmtId="0" fontId="15" fillId="0" borderId="5" xfId="0" applyFont="1" applyFill="1" applyBorder="1" applyAlignment="1">
      <alignment vertical="center"/>
    </xf>
    <xf numFmtId="0" fontId="16" fillId="10" borderId="13" xfId="0" applyFont="1" applyFill="1" applyBorder="1" applyAlignment="1">
      <alignment horizontal="center" vertical="center"/>
    </xf>
    <xf numFmtId="0" fontId="16" fillId="10" borderId="22" xfId="0" applyFont="1" applyFill="1" applyBorder="1" applyAlignment="1">
      <alignment horizontal="center" vertical="center"/>
    </xf>
    <xf numFmtId="0" fontId="28" fillId="11" borderId="23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vertical="center"/>
    </xf>
    <xf numFmtId="0" fontId="18" fillId="0" borderId="25" xfId="0" applyFont="1" applyFill="1" applyBorder="1" applyAlignment="1">
      <alignment vertical="center"/>
    </xf>
    <xf numFmtId="0" fontId="28" fillId="11" borderId="26" xfId="0" applyFont="1" applyFill="1" applyBorder="1" applyAlignment="1">
      <alignment horizontal="left" vertical="center" wrapText="1"/>
    </xf>
    <xf numFmtId="0" fontId="18" fillId="0" borderId="27" xfId="0" applyFont="1" applyFill="1" applyBorder="1" applyAlignment="1">
      <alignment vertical="center"/>
    </xf>
    <xf numFmtId="0" fontId="15" fillId="0" borderId="26" xfId="0" applyFont="1" applyFill="1" applyBorder="1" applyAlignment="1">
      <alignment horizontal="center" vertical="center" wrapText="1"/>
    </xf>
    <xf numFmtId="0" fontId="18" fillId="0" borderId="28" xfId="0" applyFont="1" applyFill="1" applyBorder="1" applyAlignment="1">
      <alignment vertical="center"/>
    </xf>
    <xf numFmtId="0" fontId="17" fillId="11" borderId="26" xfId="0" applyFont="1" applyFill="1" applyBorder="1" applyAlignment="1">
      <alignment horizontal="left" vertical="center" wrapText="1"/>
    </xf>
    <xf numFmtId="0" fontId="29" fillId="0" borderId="28" xfId="0" applyFont="1" applyFill="1" applyBorder="1" applyAlignment="1">
      <alignment vertical="center"/>
    </xf>
    <xf numFmtId="0" fontId="17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7" fillId="0" borderId="31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30" fillId="0" borderId="0" xfId="6" applyFont="1" applyBorder="1" applyAlignment="1">
      <alignment horizontal="center" vertical="center"/>
    </xf>
    <xf numFmtId="0" fontId="30" fillId="0" borderId="0" xfId="6" applyFont="1" applyAlignment="1">
      <alignment horizontal="center" vertical="center"/>
    </xf>
    <xf numFmtId="0" fontId="15" fillId="0" borderId="26" xfId="0" applyFont="1" applyFill="1" applyBorder="1" applyAlignment="1">
      <alignment horizontal="center" vertical="center"/>
    </xf>
    <xf numFmtId="0" fontId="15" fillId="0" borderId="31" xfId="0" applyFont="1" applyFill="1" applyBorder="1" applyAlignment="1">
      <alignment horizontal="center" vertical="center" wrapText="1"/>
    </xf>
    <xf numFmtId="0" fontId="16" fillId="10" borderId="15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0" fontId="16" fillId="10" borderId="16" xfId="0" applyFont="1" applyFill="1" applyBorder="1" applyAlignment="1">
      <alignment horizontal="center" vertical="center"/>
    </xf>
    <xf numFmtId="0" fontId="15" fillId="0" borderId="32" xfId="0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0" fontId="15" fillId="0" borderId="3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35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center" vertical="center"/>
    </xf>
    <xf numFmtId="0" fontId="15" fillId="0" borderId="36" xfId="0" applyFont="1" applyFill="1" applyBorder="1" applyAlignment="1">
      <alignment horizontal="left" vertical="center"/>
    </xf>
    <xf numFmtId="0" fontId="15" fillId="0" borderId="37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31" fillId="0" borderId="5" xfId="0" applyFont="1" applyFill="1" applyBorder="1" applyAlignment="1">
      <alignment horizontal="center" vertical="center"/>
    </xf>
    <xf numFmtId="0" fontId="31" fillId="0" borderId="32" xfId="0" applyFont="1" applyFill="1" applyBorder="1" applyAlignment="1">
      <alignment horizontal="center" vertical="center"/>
    </xf>
    <xf numFmtId="0" fontId="31" fillId="0" borderId="6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left" vertical="center"/>
    </xf>
    <xf numFmtId="0" fontId="15" fillId="0" borderId="38" xfId="0" applyFont="1" applyFill="1" applyBorder="1" applyAlignment="1">
      <alignment horizontal="left" vertical="center"/>
    </xf>
    <xf numFmtId="0" fontId="15" fillId="0" borderId="5" xfId="0" applyFont="1" applyBorder="1">
      <alignment vertical="center"/>
    </xf>
    <xf numFmtId="0" fontId="15" fillId="0" borderId="5" xfId="0" applyFont="1" applyFill="1" applyBorder="1" applyAlignment="1">
      <alignment horizontal="left" vertical="center"/>
    </xf>
    <xf numFmtId="0" fontId="15" fillId="0" borderId="32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/>
    </xf>
    <xf numFmtId="0" fontId="15" fillId="0" borderId="39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0" fontId="15" fillId="0" borderId="40" xfId="0" applyFont="1" applyFill="1" applyBorder="1" applyAlignment="1">
      <alignment horizontal="left" vertical="center"/>
    </xf>
    <xf numFmtId="0" fontId="15" fillId="0" borderId="9" xfId="0" applyFont="1" applyFill="1" applyBorder="1" applyAlignment="1">
      <alignment horizontal="left" vertical="center" wrapText="1"/>
    </xf>
    <xf numFmtId="0" fontId="32" fillId="0" borderId="0" xfId="0" applyFont="1">
      <alignment vertical="center"/>
    </xf>
    <xf numFmtId="0" fontId="33" fillId="4" borderId="5" xfId="0" applyFont="1" applyFill="1" applyBorder="1" applyAlignment="1">
      <alignment horizontal="center" vertical="center" wrapText="1"/>
    </xf>
    <xf numFmtId="0" fontId="34" fillId="4" borderId="5" xfId="0" applyFont="1" applyFill="1" applyBorder="1" applyAlignment="1">
      <alignment horizontal="center" vertical="center" wrapText="1"/>
    </xf>
    <xf numFmtId="0" fontId="32" fillId="0" borderId="0" xfId="0" applyFont="1" applyFill="1">
      <alignment vertical="center"/>
    </xf>
    <xf numFmtId="0" fontId="35" fillId="12" borderId="32" xfId="0" applyFont="1" applyFill="1" applyBorder="1" applyAlignment="1">
      <alignment horizontal="center" vertical="center" wrapText="1"/>
    </xf>
    <xf numFmtId="0" fontId="35" fillId="12" borderId="33" xfId="0" applyFont="1" applyFill="1" applyBorder="1" applyAlignment="1">
      <alignment horizontal="center" vertical="center"/>
    </xf>
    <xf numFmtId="0" fontId="35" fillId="12" borderId="38" xfId="0" applyFont="1" applyFill="1" applyBorder="1" applyAlignment="1">
      <alignment horizontal="center" vertical="center"/>
    </xf>
    <xf numFmtId="0" fontId="35" fillId="12" borderId="5" xfId="0" applyFont="1" applyFill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36" fillId="13" borderId="38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5" fillId="12" borderId="41" xfId="0" applyFont="1" applyFill="1" applyBorder="1" applyAlignment="1">
      <alignment horizontal="center" vertical="center" wrapText="1"/>
    </xf>
    <xf numFmtId="0" fontId="35" fillId="12" borderId="42" xfId="0" applyFont="1" applyFill="1" applyBorder="1" applyAlignment="1">
      <alignment horizontal="center" vertical="center" wrapText="1"/>
    </xf>
    <xf numFmtId="0" fontId="35" fillId="12" borderId="43" xfId="0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7" fillId="0" borderId="4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left" vertical="top" wrapText="1"/>
    </xf>
    <xf numFmtId="0" fontId="37" fillId="0" borderId="43" xfId="0" applyFont="1" applyBorder="1" applyAlignment="1">
      <alignment horizontal="left" vertical="top" wrapText="1"/>
    </xf>
    <xf numFmtId="0" fontId="32" fillId="13" borderId="38" xfId="0" applyFont="1" applyFill="1" applyBorder="1" applyAlignment="1">
      <alignment horizontal="center" vertical="center"/>
    </xf>
    <xf numFmtId="0" fontId="37" fillId="0" borderId="44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45" xfId="0" applyFont="1" applyBorder="1" applyAlignment="1">
      <alignment horizontal="left" vertical="top" wrapText="1"/>
    </xf>
    <xf numFmtId="0" fontId="32" fillId="0" borderId="0" xfId="0" applyFont="1" applyBorder="1">
      <alignment vertical="center"/>
    </xf>
    <xf numFmtId="0" fontId="32" fillId="0" borderId="0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37" fillId="0" borderId="46" xfId="0" applyFont="1" applyBorder="1" applyAlignment="1">
      <alignment horizontal="left" vertical="top" wrapText="1"/>
    </xf>
    <xf numFmtId="0" fontId="37" fillId="0" borderId="47" xfId="0" applyFont="1" applyBorder="1" applyAlignment="1">
      <alignment horizontal="left" vertical="top" wrapText="1"/>
    </xf>
    <xf numFmtId="0" fontId="37" fillId="0" borderId="48" xfId="0" applyFont="1" applyBorder="1" applyAlignment="1">
      <alignment horizontal="left" vertical="top" wrapText="1"/>
    </xf>
    <xf numFmtId="0" fontId="38" fillId="12" borderId="5" xfId="0" applyFont="1" applyFill="1" applyBorder="1" applyAlignment="1">
      <alignment horizontal="center" vertical="center" wrapText="1"/>
    </xf>
    <xf numFmtId="0" fontId="39" fillId="0" borderId="5" xfId="0" applyFont="1" applyFill="1" applyBorder="1" applyAlignment="1">
      <alignment horizontal="left" vertical="center" wrapText="1"/>
    </xf>
    <xf numFmtId="0" fontId="40" fillId="0" borderId="5" xfId="0" applyFont="1" applyFill="1" applyBorder="1" applyAlignment="1">
      <alignment horizontal="left" vertical="center" wrapText="1"/>
    </xf>
    <xf numFmtId="0" fontId="39" fillId="0" borderId="5" xfId="0" applyFont="1" applyFill="1" applyBorder="1" applyAlignment="1">
      <alignment vertical="center" wrapText="1"/>
    </xf>
    <xf numFmtId="0" fontId="39" fillId="0" borderId="32" xfId="0" applyFont="1" applyFill="1" applyBorder="1" applyAlignment="1">
      <alignment horizontal="center" vertical="center" wrapText="1"/>
    </xf>
    <xf numFmtId="0" fontId="39" fillId="0" borderId="33" xfId="0" applyFont="1" applyFill="1" applyBorder="1" applyAlignment="1">
      <alignment horizontal="center" vertical="center" wrapText="1"/>
    </xf>
    <xf numFmtId="0" fontId="39" fillId="0" borderId="38" xfId="0" applyFont="1" applyFill="1" applyBorder="1" applyAlignment="1">
      <alignment horizontal="center" vertical="center" wrapText="1"/>
    </xf>
    <xf numFmtId="0" fontId="32" fillId="0" borderId="5" xfId="0" applyFont="1" applyFill="1" applyBorder="1" applyAlignment="1">
      <alignment vertical="center"/>
    </xf>
    <xf numFmtId="0" fontId="41" fillId="0" borderId="5" xfId="0" applyFont="1" applyFill="1" applyBorder="1" applyAlignment="1">
      <alignment horizontal="left" vertical="center" wrapText="1"/>
    </xf>
    <xf numFmtId="0" fontId="39" fillId="0" borderId="5" xfId="0" applyFont="1" applyFill="1" applyBorder="1" applyAlignment="1">
      <alignment horizontal="center" vertical="center" wrapText="1"/>
    </xf>
    <xf numFmtId="0" fontId="42" fillId="0" borderId="5" xfId="0" applyFont="1" applyFill="1" applyBorder="1" applyAlignment="1">
      <alignment vertical="center" wrapText="1"/>
    </xf>
    <xf numFmtId="0" fontId="32" fillId="0" borderId="32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43" fillId="0" borderId="5" xfId="6" applyFont="1" applyBorder="1" applyAlignment="1">
      <alignment horizontal="center" vertical="center" wrapText="1"/>
    </xf>
    <xf numFmtId="0" fontId="43" fillId="0" borderId="5" xfId="6" applyFont="1" applyFill="1" applyBorder="1" applyAlignment="1">
      <alignment horizontal="center" vertical="center" wrapText="1"/>
    </xf>
    <xf numFmtId="0" fontId="43" fillId="0" borderId="32" xfId="6" applyFont="1" applyFill="1" applyBorder="1" applyAlignment="1">
      <alignment horizontal="center" vertical="center" wrapText="1"/>
    </xf>
    <xf numFmtId="0" fontId="43" fillId="0" borderId="38" xfId="6" applyFont="1" applyFill="1" applyBorder="1" applyAlignment="1">
      <alignment horizontal="center" vertical="center" wrapText="1"/>
    </xf>
    <xf numFmtId="0" fontId="35" fillId="12" borderId="49" xfId="0" applyFont="1" applyFill="1" applyBorder="1" applyAlignment="1">
      <alignment horizontal="center" vertical="center" wrapText="1"/>
    </xf>
    <xf numFmtId="0" fontId="38" fillId="12" borderId="49" xfId="0" applyFont="1" applyFill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1" fillId="0" borderId="32" xfId="0" applyFont="1" applyFill="1" applyBorder="1" applyAlignment="1">
      <alignment horizontal="center" vertical="center"/>
    </xf>
    <xf numFmtId="0" fontId="41" fillId="0" borderId="38" xfId="0" applyFont="1" applyFill="1" applyBorder="1" applyAlignment="1">
      <alignment horizontal="center" vertical="center"/>
    </xf>
    <xf numFmtId="0" fontId="32" fillId="0" borderId="5" xfId="0" applyFont="1" applyBorder="1">
      <alignment vertical="center"/>
    </xf>
    <xf numFmtId="0" fontId="32" fillId="0" borderId="32" xfId="0" applyFont="1" applyFill="1" applyBorder="1" applyAlignment="1">
      <alignment horizontal="center" vertical="center" wrapText="1"/>
    </xf>
    <xf numFmtId="0" fontId="32" fillId="0" borderId="38" xfId="0" applyFont="1" applyFill="1" applyBorder="1" applyAlignment="1">
      <alignment horizontal="center" vertical="center" wrapText="1"/>
    </xf>
    <xf numFmtId="49" fontId="39" fillId="0" borderId="32" xfId="0" applyNumberFormat="1" applyFont="1" applyFill="1" applyBorder="1" applyAlignment="1">
      <alignment horizontal="center" vertical="center" wrapText="1"/>
    </xf>
    <xf numFmtId="49" fontId="39" fillId="0" borderId="33" xfId="0" applyNumberFormat="1" applyFont="1" applyFill="1" applyBorder="1" applyAlignment="1">
      <alignment horizontal="center" vertical="center" wrapText="1"/>
    </xf>
    <xf numFmtId="49" fontId="39" fillId="0" borderId="38" xfId="0" applyNumberFormat="1" applyFont="1" applyFill="1" applyBorder="1" applyAlignment="1">
      <alignment horizontal="center" vertical="center" wrapText="1"/>
    </xf>
    <xf numFmtId="0" fontId="44" fillId="0" borderId="5" xfId="6" applyFill="1" applyBorder="1" applyAlignment="1">
      <alignment vertical="center" wrapText="1"/>
    </xf>
    <xf numFmtId="0" fontId="41" fillId="0" borderId="5" xfId="0" applyFont="1" applyFill="1" applyBorder="1" applyAlignment="1">
      <alignment vertical="center" wrapText="1"/>
    </xf>
    <xf numFmtId="0" fontId="44" fillId="0" borderId="5" xfId="6" applyFill="1" applyBorder="1" applyAlignment="1">
      <alignment horizontal="center" vertical="center" wrapText="1"/>
    </xf>
    <xf numFmtId="0" fontId="41" fillId="0" borderId="5" xfId="0" applyFont="1" applyFill="1" applyBorder="1" applyAlignment="1">
      <alignment horizontal="center" vertical="center" wrapText="1"/>
    </xf>
    <xf numFmtId="0" fontId="44" fillId="0" borderId="32" xfId="6" applyFill="1" applyBorder="1" applyAlignment="1">
      <alignment horizontal="center" vertical="center" wrapText="1"/>
    </xf>
    <xf numFmtId="0" fontId="41" fillId="0" borderId="33" xfId="0" applyFont="1" applyFill="1" applyBorder="1" applyAlignment="1">
      <alignment horizontal="center" vertical="center" wrapText="1"/>
    </xf>
    <xf numFmtId="0" fontId="41" fillId="0" borderId="38" xfId="0" applyFont="1" applyFill="1" applyBorder="1" applyAlignment="1">
      <alignment horizontal="center" vertical="center" wrapText="1"/>
    </xf>
    <xf numFmtId="0" fontId="32" fillId="0" borderId="5" xfId="0" applyFont="1" applyBorder="1" applyAlignment="1">
      <alignment vertical="center" wrapText="1"/>
    </xf>
    <xf numFmtId="0" fontId="32" fillId="0" borderId="5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4.png"/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www.wps.cn/officeDocument/2020/cellImage" Target="cellimag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val="0"/>
</file>

<file path=xl/ctrlProps/ctrlProp2.xml><?xml version="1.0" encoding="utf-8"?>
<formControlPr xmlns="http://schemas.microsoft.com/office/spreadsheetml/2009/9/main" objectType="CheckBox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val="0"/>
</file>

<file path=xl/ctrlProps/ctrlProp5.xml><?xml version="1.0" encoding="utf-8"?>
<formControlPr xmlns="http://schemas.microsoft.com/office/spreadsheetml/2009/9/main" objectType="CheckBox" val="0"/>
</file>

<file path=xl/ctrlProps/ctrlProp6.xml><?xml version="1.0" encoding="utf-8"?>
<formControlPr xmlns="http://schemas.microsoft.com/office/spreadsheetml/2009/9/main" objectType="CheckBox" val="0"/>
</file>

<file path=xl/ctrlProps/ctrlProp7.xml><?xml version="1.0" encoding="utf-8"?>
<formControlPr xmlns="http://schemas.microsoft.com/office/spreadsheetml/2009/9/main" objectType="CheckBox" val="0"/>
</file>

<file path=xl/ctrlProps/ctrlProp8.xml><?xml version="1.0" encoding="utf-8"?>
<formControlPr xmlns="http://schemas.microsoft.com/office/spreadsheetml/2009/9/main" objectType="CheckBox" val="0"/>
</file>

<file path=xl/ctrlProps/ctrlProp9.xml><?xml version="1.0" encoding="utf-8"?>
<formControlPr xmlns="http://schemas.microsoft.com/office/spreadsheetml/2009/9/main" objectType="CheckBox" val="0"/>
</file>

<file path=xl/ctrlProps/ctrlProp10.xml><?xml version="1.0" encoding="utf-8"?>
<formControlPr xmlns="http://schemas.microsoft.com/office/spreadsheetml/2009/9/main" objectType="CheckBox" val="0"/>
</file>

<file path=xl/ctrlProps/ctrlProp11.xml><?xml version="1.0" encoding="utf-8"?>
<formControlPr xmlns="http://schemas.microsoft.com/office/spreadsheetml/2009/9/main" objectType="CheckBox" val="0"/>
</file>

<file path=xl/ctrlProps/ctrlProp12.xml><?xml version="1.0" encoding="utf-8"?>
<formControlPr xmlns="http://schemas.microsoft.com/office/spreadsheetml/2009/9/main" objectType="CheckBox" checked="Checked" val="0"/>
</file>

<file path=xl/ctrlProps/ctrlProp13.xml><?xml version="1.0" encoding="utf-8"?>
<formControlPr xmlns="http://schemas.microsoft.com/office/spreadsheetml/2009/9/main" objectType="CheckBox" val="0"/>
</file>

<file path=xl/ctrlProps/ctrlProp14.xml><?xml version="1.0" encoding="utf-8"?>
<formControlPr xmlns="http://schemas.microsoft.com/office/spreadsheetml/2009/9/main" objectType="CheckBox" val="0"/>
</file>

<file path=xl/ctrlProps/ctrlProp15.xml><?xml version="1.0" encoding="utf-8"?>
<formControlPr xmlns="http://schemas.microsoft.com/office/spreadsheetml/2009/9/main" objectType="CheckBox" val="0"/>
</file>

<file path=xl/ctrlProps/ctrlProp16.xml><?xml version="1.0" encoding="utf-8"?>
<formControlPr xmlns="http://schemas.microsoft.com/office/spreadsheetml/2009/9/main" objectType="CheckBox" val="0"/>
</file>

<file path=xl/ctrlProps/ctrlProp17.xml><?xml version="1.0" encoding="utf-8"?>
<formControlPr xmlns="http://schemas.microsoft.com/office/spreadsheetml/2009/9/main" objectType="CheckBox" val="0"/>
</file>

<file path=xl/ctrlProps/ctrlProp18.xml><?xml version="1.0" encoding="utf-8"?>
<formControlPr xmlns="http://schemas.microsoft.com/office/spreadsheetml/2009/9/main" objectType="CheckBox" val="0"/>
</file>

<file path=xl/ctrlProps/ctrlProp19.xml><?xml version="1.0" encoding="utf-8"?>
<formControlPr xmlns="http://schemas.microsoft.com/office/spreadsheetml/2009/9/main" objectType="CheckBox" checked="Checked" val="0"/>
</file>

<file path=xl/ctrlProps/ctrlProp20.xml><?xml version="1.0" encoding="utf-8"?>
<formControlPr xmlns="http://schemas.microsoft.com/office/spreadsheetml/2009/9/main" objectType="CheckBox" val="0"/>
</file>

<file path=xl/ctrlProps/ctrlProp21.xml><?xml version="1.0" encoding="utf-8"?>
<formControlPr xmlns="http://schemas.microsoft.com/office/spreadsheetml/2009/9/main" objectType="CheckBox" val="0"/>
</file>

<file path=xl/ctrlProps/ctrlProp22.xml><?xml version="1.0" encoding="utf-8"?>
<formControlPr xmlns="http://schemas.microsoft.com/office/spreadsheetml/2009/9/main" objectType="CheckBox" val="0"/>
</file>

<file path=xl/ctrlProps/ctrlProp23.xml><?xml version="1.0" encoding="utf-8"?>
<formControlPr xmlns="http://schemas.microsoft.com/office/spreadsheetml/2009/9/main" objectType="CheckBox" val="0"/>
</file>

<file path=xl/ctrlProps/ctrlProp24.xml><?xml version="1.0" encoding="utf-8"?>
<formControlPr xmlns="http://schemas.microsoft.com/office/spreadsheetml/2009/9/main" objectType="CheckBox" val="0"/>
</file>

<file path=xl/ctrlProps/ctrlProp25.xml><?xml version="1.0" encoding="utf-8"?>
<formControlPr xmlns="http://schemas.microsoft.com/office/spreadsheetml/2009/9/main" objectType="CheckBox" val="0"/>
</file>

<file path=xl/ctrlProps/ctrlProp26.xml><?xml version="1.0" encoding="utf-8"?>
<formControlPr xmlns="http://schemas.microsoft.com/office/spreadsheetml/2009/9/main" objectType="CheckBox" val="0"/>
</file>

<file path=xl/ctrlProps/ctrlProp27.xml><?xml version="1.0" encoding="utf-8"?>
<formControlPr xmlns="http://schemas.microsoft.com/office/spreadsheetml/2009/9/main" objectType="CheckBox" checked="Checked" val="0"/>
</file>

<file path=xl/ctrlProps/ctrlProp28.xml><?xml version="1.0" encoding="utf-8"?>
<formControlPr xmlns="http://schemas.microsoft.com/office/spreadsheetml/2009/9/main" objectType="CheckBox" checked="Checked" val="0"/>
</file>

<file path=xl/ctrlProps/ctrlProp29.xml><?xml version="1.0" encoding="utf-8"?>
<formControlPr xmlns="http://schemas.microsoft.com/office/spreadsheetml/2009/9/main" objectType="CheckBox" val="0"/>
</file>

<file path=xl/ctrlProps/ctrlProp30.xml><?xml version="1.0" encoding="utf-8"?>
<formControlPr xmlns="http://schemas.microsoft.com/office/spreadsheetml/2009/9/main" objectType="CheckBox" val="0"/>
</file>

<file path=xl/ctrlProps/ctrlProp31.xml><?xml version="1.0" encoding="utf-8"?>
<formControlPr xmlns="http://schemas.microsoft.com/office/spreadsheetml/2009/9/main" objectType="CheckBox" val="0"/>
</file>

<file path=xl/ctrlProps/ctrlProp32.xml><?xml version="1.0" encoding="utf-8"?>
<formControlPr xmlns="http://schemas.microsoft.com/office/spreadsheetml/2009/9/main" objectType="CheckBox" val="0"/>
</file>

<file path=xl/ctrlProps/ctrlProp33.xml><?xml version="1.0" encoding="utf-8"?>
<formControlPr xmlns="http://schemas.microsoft.com/office/spreadsheetml/2009/9/main" objectType="CheckBox" val="0"/>
</file>

<file path=xl/ctrlProps/ctrlProp34.xml><?xml version="1.0" encoding="utf-8"?>
<formControlPr xmlns="http://schemas.microsoft.com/office/spreadsheetml/2009/9/main" objectType="CheckBox" val="0"/>
</file>

<file path=xl/ctrlProps/ctrlProp35.xml><?xml version="1.0" encoding="utf-8"?>
<formControlPr xmlns="http://schemas.microsoft.com/office/spreadsheetml/2009/9/main" objectType="CheckBox" val="0"/>
</file>

<file path=xl/ctrlProps/ctrlProp36.xml><?xml version="1.0" encoding="utf-8"?>
<formControlPr xmlns="http://schemas.microsoft.com/office/spreadsheetml/2009/9/main" objectType="CheckBox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3</xdr:row>
          <xdr:rowOff>123825</xdr:rowOff>
        </xdr:from>
        <xdr:to>
          <xdr:col>3</xdr:col>
          <xdr:colOff>0</xdr:colOff>
          <xdr:row>3</xdr:row>
          <xdr:rowOff>340995</xdr:rowOff>
        </xdr:to>
        <xdr:sp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3087370" y="1736725"/>
              <a:ext cx="86487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4</xdr:row>
          <xdr:rowOff>123825</xdr:rowOff>
        </xdr:from>
        <xdr:to>
          <xdr:col>3</xdr:col>
          <xdr:colOff>0</xdr:colOff>
          <xdr:row>4</xdr:row>
          <xdr:rowOff>340995</xdr:rowOff>
        </xdr:to>
        <xdr:sp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3087370" y="2168525"/>
              <a:ext cx="86487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5</xdr:row>
          <xdr:rowOff>123825</xdr:rowOff>
        </xdr:from>
        <xdr:to>
          <xdr:col>3</xdr:col>
          <xdr:colOff>0</xdr:colOff>
          <xdr:row>5</xdr:row>
          <xdr:rowOff>340995</xdr:rowOff>
        </xdr:to>
        <xdr:sp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3087370" y="2600325"/>
              <a:ext cx="86487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6</xdr:row>
          <xdr:rowOff>123825</xdr:rowOff>
        </xdr:from>
        <xdr:to>
          <xdr:col>3</xdr:col>
          <xdr:colOff>0</xdr:colOff>
          <xdr:row>6</xdr:row>
          <xdr:rowOff>340995</xdr:rowOff>
        </xdr:to>
        <xdr:sp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3087370" y="3032125"/>
              <a:ext cx="86487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7</xdr:row>
          <xdr:rowOff>123825</xdr:rowOff>
        </xdr:from>
        <xdr:to>
          <xdr:col>3</xdr:col>
          <xdr:colOff>0</xdr:colOff>
          <xdr:row>7</xdr:row>
          <xdr:rowOff>340995</xdr:rowOff>
        </xdr:to>
        <xdr:sp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3087370" y="3463925"/>
              <a:ext cx="86487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8</xdr:row>
          <xdr:rowOff>123825</xdr:rowOff>
        </xdr:from>
        <xdr:to>
          <xdr:col>3</xdr:col>
          <xdr:colOff>0</xdr:colOff>
          <xdr:row>8</xdr:row>
          <xdr:rowOff>340995</xdr:rowOff>
        </xdr:to>
        <xdr:sp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3087370" y="3895725"/>
              <a:ext cx="86487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9</xdr:row>
          <xdr:rowOff>123825</xdr:rowOff>
        </xdr:from>
        <xdr:to>
          <xdr:col>3</xdr:col>
          <xdr:colOff>0</xdr:colOff>
          <xdr:row>9</xdr:row>
          <xdr:rowOff>340995</xdr:rowOff>
        </xdr:to>
        <xdr:sp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3087370" y="4327525"/>
              <a:ext cx="86487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10</xdr:row>
          <xdr:rowOff>123825</xdr:rowOff>
        </xdr:from>
        <xdr:to>
          <xdr:col>3</xdr:col>
          <xdr:colOff>0</xdr:colOff>
          <xdr:row>10</xdr:row>
          <xdr:rowOff>340995</xdr:rowOff>
        </xdr:to>
        <xdr:sp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3087370" y="4759325"/>
              <a:ext cx="86487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</xdr:row>
          <xdr:rowOff>123825</xdr:rowOff>
        </xdr:from>
        <xdr:to>
          <xdr:col>3</xdr:col>
          <xdr:colOff>1057275</xdr:colOff>
          <xdr:row>3</xdr:row>
          <xdr:rowOff>337820</xdr:rowOff>
        </xdr:to>
        <xdr:sp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4095115" y="1736725"/>
              <a:ext cx="914400" cy="21399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</xdr:row>
          <xdr:rowOff>123825</xdr:rowOff>
        </xdr:from>
        <xdr:to>
          <xdr:col>3</xdr:col>
          <xdr:colOff>1057275</xdr:colOff>
          <xdr:row>4</xdr:row>
          <xdr:rowOff>337820</xdr:rowOff>
        </xdr:to>
        <xdr:sp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4095115" y="2168525"/>
              <a:ext cx="914400" cy="21399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5</xdr:row>
          <xdr:rowOff>123825</xdr:rowOff>
        </xdr:from>
        <xdr:to>
          <xdr:col>3</xdr:col>
          <xdr:colOff>1057275</xdr:colOff>
          <xdr:row>5</xdr:row>
          <xdr:rowOff>337820</xdr:rowOff>
        </xdr:to>
        <xdr:sp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4095115" y="2600325"/>
              <a:ext cx="914400" cy="21399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6</xdr:row>
          <xdr:rowOff>123825</xdr:rowOff>
        </xdr:from>
        <xdr:to>
          <xdr:col>3</xdr:col>
          <xdr:colOff>1057275</xdr:colOff>
          <xdr:row>6</xdr:row>
          <xdr:rowOff>337820</xdr:rowOff>
        </xdr:to>
        <xdr:sp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4095115" y="3032125"/>
              <a:ext cx="914400" cy="21399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7</xdr:row>
          <xdr:rowOff>123825</xdr:rowOff>
        </xdr:from>
        <xdr:to>
          <xdr:col>3</xdr:col>
          <xdr:colOff>1057275</xdr:colOff>
          <xdr:row>7</xdr:row>
          <xdr:rowOff>337820</xdr:rowOff>
        </xdr:to>
        <xdr:sp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4095115" y="3463925"/>
              <a:ext cx="914400" cy="21399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8</xdr:row>
          <xdr:rowOff>123825</xdr:rowOff>
        </xdr:from>
        <xdr:to>
          <xdr:col>3</xdr:col>
          <xdr:colOff>1057275</xdr:colOff>
          <xdr:row>8</xdr:row>
          <xdr:rowOff>337820</xdr:rowOff>
        </xdr:to>
        <xdr:sp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4095115" y="3895725"/>
              <a:ext cx="914400" cy="21399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9</xdr:row>
          <xdr:rowOff>123825</xdr:rowOff>
        </xdr:from>
        <xdr:to>
          <xdr:col>3</xdr:col>
          <xdr:colOff>1057275</xdr:colOff>
          <xdr:row>9</xdr:row>
          <xdr:rowOff>337820</xdr:rowOff>
        </xdr:to>
        <xdr:sp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4095115" y="4327525"/>
              <a:ext cx="914400" cy="21399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10</xdr:row>
          <xdr:rowOff>123825</xdr:rowOff>
        </xdr:from>
        <xdr:to>
          <xdr:col>3</xdr:col>
          <xdr:colOff>1057275</xdr:colOff>
          <xdr:row>10</xdr:row>
          <xdr:rowOff>337820</xdr:rowOff>
        </xdr:to>
        <xdr:sp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4095115" y="4759325"/>
              <a:ext cx="914400" cy="21399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3</xdr:row>
          <xdr:rowOff>114300</xdr:rowOff>
        </xdr:from>
        <xdr:to>
          <xdr:col>4</xdr:col>
          <xdr:colOff>1019175</xdr:colOff>
          <xdr:row>3</xdr:row>
          <xdr:rowOff>331470</xdr:rowOff>
        </xdr:to>
        <xdr:sp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5375275" y="1727200"/>
              <a:ext cx="91440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4</xdr:row>
          <xdr:rowOff>114300</xdr:rowOff>
        </xdr:from>
        <xdr:to>
          <xdr:col>4</xdr:col>
          <xdr:colOff>1019175</xdr:colOff>
          <xdr:row>4</xdr:row>
          <xdr:rowOff>331470</xdr:rowOff>
        </xdr:to>
        <xdr:sp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5375275" y="2159000"/>
              <a:ext cx="91440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5</xdr:row>
          <xdr:rowOff>114300</xdr:rowOff>
        </xdr:from>
        <xdr:to>
          <xdr:col>4</xdr:col>
          <xdr:colOff>1019175</xdr:colOff>
          <xdr:row>5</xdr:row>
          <xdr:rowOff>331470</xdr:rowOff>
        </xdr:to>
        <xdr:sp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5375275" y="2590800"/>
              <a:ext cx="91440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6</xdr:row>
          <xdr:rowOff>114300</xdr:rowOff>
        </xdr:from>
        <xdr:to>
          <xdr:col>4</xdr:col>
          <xdr:colOff>1019175</xdr:colOff>
          <xdr:row>6</xdr:row>
          <xdr:rowOff>331470</xdr:rowOff>
        </xdr:to>
        <xdr:sp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5375275" y="3022600"/>
              <a:ext cx="91440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7</xdr:row>
          <xdr:rowOff>114300</xdr:rowOff>
        </xdr:from>
        <xdr:to>
          <xdr:col>4</xdr:col>
          <xdr:colOff>1019175</xdr:colOff>
          <xdr:row>7</xdr:row>
          <xdr:rowOff>331470</xdr:rowOff>
        </xdr:to>
        <xdr:sp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5375275" y="3454400"/>
              <a:ext cx="91440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8</xdr:row>
          <xdr:rowOff>114300</xdr:rowOff>
        </xdr:from>
        <xdr:to>
          <xdr:col>4</xdr:col>
          <xdr:colOff>1019175</xdr:colOff>
          <xdr:row>8</xdr:row>
          <xdr:rowOff>331470</xdr:rowOff>
        </xdr:to>
        <xdr:sp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5375275" y="3886200"/>
              <a:ext cx="91440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9</xdr:row>
          <xdr:rowOff>114300</xdr:rowOff>
        </xdr:from>
        <xdr:to>
          <xdr:col>4</xdr:col>
          <xdr:colOff>1019175</xdr:colOff>
          <xdr:row>9</xdr:row>
          <xdr:rowOff>331470</xdr:rowOff>
        </xdr:to>
        <xdr:sp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5375275" y="4318000"/>
              <a:ext cx="91440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10</xdr:row>
          <xdr:rowOff>114300</xdr:rowOff>
        </xdr:from>
        <xdr:to>
          <xdr:col>4</xdr:col>
          <xdr:colOff>1019175</xdr:colOff>
          <xdr:row>10</xdr:row>
          <xdr:rowOff>331470</xdr:rowOff>
        </xdr:to>
        <xdr:sp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5375275" y="4749800"/>
              <a:ext cx="91440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238125</xdr:colOff>
          <xdr:row>3</xdr:row>
          <xdr:rowOff>95250</xdr:rowOff>
        </xdr:from>
        <xdr:to>
          <xdr:col>1</xdr:col>
          <xdr:colOff>1238250</xdr:colOff>
          <xdr:row>3</xdr:row>
          <xdr:rowOff>369570</xdr:rowOff>
        </xdr:to>
        <xdr:sp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678305" y="1708150"/>
              <a:ext cx="1000125" cy="274320"/>
            </a:xfrm>
            <a:prstGeom prst="rect">
              <a:avLst/>
            </a:prstGeom>
          </xdr:spPr>
          <xdr:txBody>
            <a:bodyPr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法国（FR）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4</xdr:row>
          <xdr:rowOff>104775</xdr:rowOff>
        </xdr:from>
        <xdr:to>
          <xdr:col>1</xdr:col>
          <xdr:colOff>1114425</xdr:colOff>
          <xdr:row>4</xdr:row>
          <xdr:rowOff>321945</xdr:rowOff>
        </xdr:to>
        <xdr:sp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640205" y="2149475"/>
              <a:ext cx="914400" cy="217170"/>
            </a:xfrm>
            <a:prstGeom prst="rect">
              <a:avLst/>
            </a:prstGeom>
          </xdr:spPr>
          <xdr:txBody>
            <a:bodyPr wrap="square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意大利 (IT)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5</xdr:row>
          <xdr:rowOff>104775</xdr:rowOff>
        </xdr:from>
        <xdr:to>
          <xdr:col>1</xdr:col>
          <xdr:colOff>1114425</xdr:colOff>
          <xdr:row>5</xdr:row>
          <xdr:rowOff>321945</xdr:rowOff>
        </xdr:to>
        <xdr:sp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640205" y="2581275"/>
              <a:ext cx="914400" cy="217170"/>
            </a:xfrm>
            <a:prstGeom prst="rect">
              <a:avLst/>
            </a:prstGeom>
          </xdr:spPr>
          <xdr:txBody>
            <a:bodyPr wrap="square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西班牙（ES）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6</xdr:row>
          <xdr:rowOff>123825</xdr:rowOff>
        </xdr:from>
        <xdr:to>
          <xdr:col>1</xdr:col>
          <xdr:colOff>1114425</xdr:colOff>
          <xdr:row>6</xdr:row>
          <xdr:rowOff>340995</xdr:rowOff>
        </xdr:to>
        <xdr:sp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640205" y="3032125"/>
              <a:ext cx="914400" cy="217170"/>
            </a:xfrm>
            <a:prstGeom prst="rect">
              <a:avLst/>
            </a:prstGeom>
          </xdr:spPr>
          <xdr:txBody>
            <a:bodyPr wrap="square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荷兰（NL）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7</xdr:row>
          <xdr:rowOff>133350</xdr:rowOff>
        </xdr:from>
        <xdr:to>
          <xdr:col>1</xdr:col>
          <xdr:colOff>1114425</xdr:colOff>
          <xdr:row>7</xdr:row>
          <xdr:rowOff>350520</xdr:rowOff>
        </xdr:to>
        <xdr:sp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640205" y="3473450"/>
              <a:ext cx="914400" cy="217170"/>
            </a:xfrm>
            <a:prstGeom prst="rect">
              <a:avLst/>
            </a:prstGeom>
          </xdr:spPr>
          <xdr:txBody>
            <a:bodyPr wrap="square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波兰（PL）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8</xdr:row>
          <xdr:rowOff>133350</xdr:rowOff>
        </xdr:from>
        <xdr:to>
          <xdr:col>1</xdr:col>
          <xdr:colOff>1114425</xdr:colOff>
          <xdr:row>8</xdr:row>
          <xdr:rowOff>350520</xdr:rowOff>
        </xdr:to>
        <xdr:sp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640205" y="3905250"/>
              <a:ext cx="914400" cy="217170"/>
            </a:xfrm>
            <a:prstGeom prst="rect">
              <a:avLst/>
            </a:prstGeom>
          </xdr:spPr>
          <xdr:txBody>
            <a:bodyPr wrap="square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爱尔兰（IE）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9</xdr:row>
          <xdr:rowOff>133350</xdr:rowOff>
        </xdr:from>
        <xdr:to>
          <xdr:col>1</xdr:col>
          <xdr:colOff>1123950</xdr:colOff>
          <xdr:row>9</xdr:row>
          <xdr:rowOff>350520</xdr:rowOff>
        </xdr:to>
        <xdr:sp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649730" y="4337050"/>
              <a:ext cx="914400" cy="217170"/>
            </a:xfrm>
            <a:prstGeom prst="rect">
              <a:avLst/>
            </a:prstGeom>
          </xdr:spPr>
          <xdr:txBody>
            <a:bodyPr wrap="square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瑞典（SE）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10</xdr:row>
          <xdr:rowOff>123825</xdr:rowOff>
        </xdr:from>
        <xdr:to>
          <xdr:col>1</xdr:col>
          <xdr:colOff>1123950</xdr:colOff>
          <xdr:row>10</xdr:row>
          <xdr:rowOff>340995</xdr:rowOff>
        </xdr:to>
        <xdr:sp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649730" y="4759325"/>
              <a:ext cx="914400" cy="217170"/>
            </a:xfrm>
            <a:prstGeom prst="rect">
              <a:avLst/>
            </a:prstGeom>
          </xdr:spPr>
          <xdr:txBody>
            <a:bodyPr wrap="square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比利时（BE）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2</xdr:row>
          <xdr:rowOff>123825</xdr:rowOff>
        </xdr:from>
        <xdr:to>
          <xdr:col>3</xdr:col>
          <xdr:colOff>0</xdr:colOff>
          <xdr:row>2</xdr:row>
          <xdr:rowOff>340995</xdr:rowOff>
        </xdr:to>
        <xdr:sp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3087370" y="1292225"/>
              <a:ext cx="86487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</xdr:row>
          <xdr:rowOff>123825</xdr:rowOff>
        </xdr:from>
        <xdr:to>
          <xdr:col>3</xdr:col>
          <xdr:colOff>1057275</xdr:colOff>
          <xdr:row>2</xdr:row>
          <xdr:rowOff>337820</xdr:rowOff>
        </xdr:to>
        <xdr:sp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4095115" y="1292225"/>
              <a:ext cx="914400" cy="213995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2</xdr:row>
          <xdr:rowOff>114300</xdr:rowOff>
        </xdr:from>
        <xdr:to>
          <xdr:col>4</xdr:col>
          <xdr:colOff>1019175</xdr:colOff>
          <xdr:row>2</xdr:row>
          <xdr:rowOff>331470</xdr:rowOff>
        </xdr:to>
        <xdr:sp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5375275" y="1282700"/>
              <a:ext cx="914400" cy="21717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238125</xdr:colOff>
          <xdr:row>2</xdr:row>
          <xdr:rowOff>95250</xdr:rowOff>
        </xdr:from>
        <xdr:to>
          <xdr:col>1</xdr:col>
          <xdr:colOff>1238250</xdr:colOff>
          <xdr:row>2</xdr:row>
          <xdr:rowOff>369570</xdr:rowOff>
        </xdr:to>
        <xdr:sp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678305" y="1263650"/>
              <a:ext cx="1000125" cy="274320"/>
            </a:xfrm>
            <a:prstGeom prst="rect">
              <a:avLst/>
            </a:prstGeom>
          </xdr:spPr>
          <xdr:txBody>
            <a:bodyPr wrap="square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德国（DE）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xdr:twoCellAnchor editAs="oneCell">
    <xdr:from>
      <xdr:col>1</xdr:col>
      <xdr:colOff>0</xdr:colOff>
      <xdr:row>27</xdr:row>
      <xdr:rowOff>0</xdr:rowOff>
    </xdr:from>
    <xdr:to>
      <xdr:col>4</xdr:col>
      <xdr:colOff>982345</xdr:colOff>
      <xdr:row>64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40180" y="16184880"/>
          <a:ext cx="4812665" cy="6275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7\&#20132;&#20184;&#21327;&#21516;\18-&#27867;&#27431;&#22269;&#23478;EPR&#36164;&#26009;&#27719;&#24635;%202025\3-&#35199;&#29677;&#29273;\&#27880;&#20876;&#25152;&#38656;&#36164;&#26009;--&#21830;&#21153;&#30475;\&#36259;&#31246;--&#22823;&#37096;&#20998;&#23458;&#25143;\&#35199;&#29677;&#29273;&#30005;&#27744;&#27861;&#30003;&#35831;&#34920;-[NUEVO]%20Formulario%20de%20Incorporaci&#243;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6980\Documents\WXWork\1688857224763103\Cache\File\2026-04\&#26368;&#26032;&#19994;&#21153;&#25968;&#25454;(&#24503;&#22269;)&#27169;&#26495;-2026.2.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注册表"/>
      <sheetName val="电池临时分类"/>
      <sheetName val="数据（勿删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导入名单"/>
      <sheetName val="系统字典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0" Type="http://schemas.openxmlformats.org/officeDocument/2006/relationships/hyperlink" Target="https://www.amazon.fr/sp?seller=A5F7V1NVCKQ69" TargetMode="External"/><Relationship Id="rId4" Type="http://schemas.openxmlformats.org/officeDocument/2006/relationships/ctrlProp" Target="../ctrlProps/ctrlProp2.xml"/><Relationship Id="rId39" Type="http://schemas.openxmlformats.org/officeDocument/2006/relationships/hyperlink" Target="mailto:benny@geekstech.cn" TargetMode="External"/><Relationship Id="rId38" Type="http://schemas.openxmlformats.org/officeDocument/2006/relationships/ctrlProp" Target="../ctrlProps/ctrlProp36.xml"/><Relationship Id="rId37" Type="http://schemas.openxmlformats.org/officeDocument/2006/relationships/ctrlProp" Target="../ctrlProps/ctrlProp35.xml"/><Relationship Id="rId36" Type="http://schemas.openxmlformats.org/officeDocument/2006/relationships/ctrlProp" Target="../ctrlProps/ctrlProp34.xml"/><Relationship Id="rId35" Type="http://schemas.openxmlformats.org/officeDocument/2006/relationships/ctrlProp" Target="../ctrlProps/ctrlProp33.xml"/><Relationship Id="rId34" Type="http://schemas.openxmlformats.org/officeDocument/2006/relationships/ctrlProp" Target="../ctrlProps/ctrlProp32.xml"/><Relationship Id="rId33" Type="http://schemas.openxmlformats.org/officeDocument/2006/relationships/ctrlProp" Target="../ctrlProps/ctrlProp31.xml"/><Relationship Id="rId32" Type="http://schemas.openxmlformats.org/officeDocument/2006/relationships/ctrlProp" Target="../ctrlProps/ctrlProp30.xml"/><Relationship Id="rId31" Type="http://schemas.openxmlformats.org/officeDocument/2006/relationships/ctrlProp" Target="../ctrlProps/ctrlProp29.xml"/><Relationship Id="rId30" Type="http://schemas.openxmlformats.org/officeDocument/2006/relationships/ctrlProp" Target="../ctrlProps/ctrlProp28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8"/>
  <sheetViews>
    <sheetView zoomScale="80" zoomScaleNormal="80" workbookViewId="0">
      <selection activeCell="B25" sqref="B25:I25"/>
    </sheetView>
  </sheetViews>
  <sheetFormatPr defaultColWidth="8.88888888888889" defaultRowHeight="13.2"/>
  <cols>
    <col min="1" max="1" width="21" style="149" customWidth="1"/>
    <col min="2" max="2" width="20.1296296296296" style="149" customWidth="1"/>
    <col min="3" max="3" width="16.5" style="149" customWidth="1"/>
    <col min="4" max="4" width="19.2222222222222" style="149" customWidth="1"/>
    <col min="5" max="5" width="20.3796296296296" style="149" customWidth="1"/>
    <col min="6" max="6" width="15.5555555555556" style="149" customWidth="1"/>
    <col min="7" max="7" width="20" style="149" customWidth="1"/>
    <col min="8" max="8" width="15.5555555555556" style="149" customWidth="1"/>
    <col min="9" max="9" width="25.3333333333333" style="149" customWidth="1"/>
    <col min="10" max="16384" width="8.88888888888889" style="149"/>
  </cols>
  <sheetData>
    <row r="1" ht="57" customHeight="1" spans="1:10">
      <c r="A1" s="150" t="s">
        <v>0</v>
      </c>
      <c r="B1" s="151"/>
      <c r="C1" s="151"/>
      <c r="D1" s="151"/>
      <c r="E1" s="151"/>
      <c r="F1" s="151"/>
      <c r="G1" s="151"/>
      <c r="H1" s="151"/>
      <c r="I1" s="151"/>
      <c r="J1" s="152"/>
    </row>
    <row r="2" ht="35" customHeight="1" spans="1:10">
      <c r="A2" s="153" t="s">
        <v>1</v>
      </c>
      <c r="B2" s="154"/>
      <c r="C2" s="154"/>
      <c r="D2" s="154"/>
      <c r="E2" s="155"/>
      <c r="F2" s="156" t="s">
        <v>2</v>
      </c>
      <c r="G2" s="156"/>
      <c r="H2" s="156"/>
      <c r="I2" s="156"/>
    </row>
    <row r="3" ht="35" customHeight="1" spans="1:10">
      <c r="A3" s="157" t="s">
        <v>3</v>
      </c>
      <c r="B3" s="158"/>
      <c r="C3" s="159" t="s">
        <v>4</v>
      </c>
      <c r="D3" s="159" t="s">
        <v>5</v>
      </c>
      <c r="E3" s="159" t="s">
        <v>6</v>
      </c>
      <c r="F3" s="160"/>
      <c r="G3" s="161"/>
      <c r="H3" s="161"/>
      <c r="I3" s="162"/>
    </row>
    <row r="4" ht="34" customHeight="1" spans="1:10">
      <c r="A4" s="163"/>
      <c r="B4" s="158"/>
      <c r="C4" s="159" t="s">
        <v>4</v>
      </c>
      <c r="D4" s="159" t="s">
        <v>5</v>
      </c>
      <c r="E4" s="159" t="s">
        <v>6</v>
      </c>
      <c r="F4" s="164" t="s">
        <v>7</v>
      </c>
      <c r="G4" s="165"/>
      <c r="H4" s="165"/>
      <c r="I4" s="166"/>
    </row>
    <row r="5" ht="34" customHeight="1" spans="1:10">
      <c r="A5" s="163"/>
      <c r="B5" s="167"/>
      <c r="C5" s="159" t="s">
        <v>4</v>
      </c>
      <c r="D5" s="159" t="s">
        <v>5</v>
      </c>
      <c r="E5" s="159" t="s">
        <v>6</v>
      </c>
      <c r="F5" s="168"/>
      <c r="G5" s="169"/>
      <c r="H5" s="169"/>
      <c r="I5" s="170"/>
    </row>
    <row r="6" ht="34" customHeight="1" spans="1:10">
      <c r="A6" s="163"/>
      <c r="B6" s="158"/>
      <c r="C6" s="159" t="s">
        <v>4</v>
      </c>
      <c r="D6" s="159" t="s">
        <v>5</v>
      </c>
      <c r="E6" s="159" t="s">
        <v>6</v>
      </c>
      <c r="F6" s="168"/>
      <c r="G6" s="169"/>
      <c r="H6" s="169"/>
      <c r="I6" s="170"/>
    </row>
    <row r="7" ht="34" customHeight="1" spans="1:10">
      <c r="A7" s="163"/>
      <c r="B7" s="158"/>
      <c r="C7" s="159" t="s">
        <v>4</v>
      </c>
      <c r="D7" s="159" t="s">
        <v>5</v>
      </c>
      <c r="E7" s="159" t="s">
        <v>6</v>
      </c>
      <c r="F7" s="168"/>
      <c r="G7" s="169"/>
      <c r="H7" s="169"/>
      <c r="I7" s="170"/>
    </row>
    <row r="8" ht="34" customHeight="1" spans="1:10">
      <c r="A8" s="163"/>
      <c r="B8" s="158"/>
      <c r="C8" s="159" t="s">
        <v>4</v>
      </c>
      <c r="D8" s="159" t="s">
        <v>5</v>
      </c>
      <c r="E8" s="159" t="s">
        <v>6</v>
      </c>
      <c r="F8" s="168"/>
      <c r="G8" s="169"/>
      <c r="H8" s="169"/>
      <c r="I8" s="170"/>
    </row>
    <row r="9" ht="34" customHeight="1" spans="1:10">
      <c r="A9" s="163"/>
      <c r="B9" s="158"/>
      <c r="C9" s="159" t="s">
        <v>4</v>
      </c>
      <c r="D9" s="159" t="s">
        <v>5</v>
      </c>
      <c r="E9" s="159" t="s">
        <v>6</v>
      </c>
      <c r="F9" s="168"/>
      <c r="G9" s="169"/>
      <c r="H9" s="169"/>
      <c r="I9" s="170"/>
      <c r="J9" s="171"/>
    </row>
    <row r="10" ht="34" customHeight="1" spans="1:10">
      <c r="A10" s="163"/>
      <c r="B10" s="158"/>
      <c r="C10" s="159" t="s">
        <v>4</v>
      </c>
      <c r="D10" s="159" t="s">
        <v>5</v>
      </c>
      <c r="E10" s="159" t="s">
        <v>6</v>
      </c>
      <c r="F10" s="168"/>
      <c r="G10" s="169"/>
      <c r="H10" s="169"/>
      <c r="I10" s="170"/>
      <c r="J10" s="172"/>
    </row>
    <row r="11" ht="34" customHeight="1" spans="1:10">
      <c r="A11" s="173"/>
      <c r="B11" s="158"/>
      <c r="C11" s="159" t="s">
        <v>4</v>
      </c>
      <c r="D11" s="159" t="s">
        <v>5</v>
      </c>
      <c r="E11" s="159" t="s">
        <v>6</v>
      </c>
      <c r="F11" s="174"/>
      <c r="G11" s="175"/>
      <c r="H11" s="175"/>
      <c r="I11" s="176"/>
      <c r="J11" s="172"/>
    </row>
    <row r="12" ht="51" customHeight="1" spans="1:10">
      <c r="A12" s="156" t="s">
        <v>8</v>
      </c>
      <c r="B12" s="177"/>
      <c r="C12" s="177"/>
      <c r="D12" s="177"/>
      <c r="E12" s="177"/>
      <c r="F12" s="177"/>
      <c r="G12" s="177"/>
      <c r="H12" s="177"/>
      <c r="I12" s="177"/>
      <c r="J12" s="171"/>
    </row>
    <row r="13" ht="53" customHeight="1" spans="1:10">
      <c r="A13" s="178" t="s">
        <v>9</v>
      </c>
      <c r="B13" s="179" t="s">
        <v>10</v>
      </c>
      <c r="C13" s="179"/>
      <c r="D13" s="180" t="s">
        <v>11</v>
      </c>
      <c r="E13" s="181" t="s">
        <v>10</v>
      </c>
      <c r="F13" s="182"/>
      <c r="G13" s="183"/>
      <c r="H13" s="180" t="s">
        <v>12</v>
      </c>
      <c r="I13" s="184" t="s">
        <v>13</v>
      </c>
    </row>
    <row r="14" ht="53" customHeight="1" spans="1:10">
      <c r="A14" s="178" t="s">
        <v>14</v>
      </c>
      <c r="B14" s="185" t="s">
        <v>15</v>
      </c>
      <c r="C14" s="185"/>
      <c r="D14" s="180" t="s">
        <v>16</v>
      </c>
      <c r="E14" s="181" t="s">
        <v>17</v>
      </c>
      <c r="F14" s="182"/>
      <c r="G14" s="183"/>
      <c r="H14" s="180" t="s">
        <v>18</v>
      </c>
      <c r="I14" s="214" t="s">
        <v>19</v>
      </c>
    </row>
    <row r="15" ht="53" customHeight="1" spans="1:10">
      <c r="A15" s="180" t="s">
        <v>20</v>
      </c>
      <c r="B15" s="186">
        <v>66432778</v>
      </c>
      <c r="C15" s="186"/>
      <c r="D15" s="187" t="s">
        <v>21</v>
      </c>
      <c r="E15" s="188"/>
      <c r="F15" s="189"/>
      <c r="G15" s="189"/>
      <c r="H15" s="189"/>
      <c r="I15" s="190"/>
    </row>
    <row r="16" ht="59" customHeight="1" spans="1:10">
      <c r="A16" s="180" t="s">
        <v>22</v>
      </c>
      <c r="B16" s="191" t="s">
        <v>23</v>
      </c>
      <c r="C16" s="192"/>
      <c r="D16" s="192"/>
      <c r="E16" s="191"/>
      <c r="F16" s="191"/>
      <c r="G16" s="192"/>
      <c r="H16" s="193"/>
      <c r="I16" s="194"/>
    </row>
    <row r="17" ht="45" customHeight="1" spans="1:9">
      <c r="A17" s="178" t="s">
        <v>24</v>
      </c>
      <c r="B17" s="188"/>
      <c r="C17" s="189"/>
      <c r="D17" s="189"/>
      <c r="E17" s="189"/>
      <c r="F17" s="189"/>
      <c r="G17" s="189"/>
      <c r="H17" s="189"/>
      <c r="I17" s="190"/>
    </row>
    <row r="18" ht="46" customHeight="1" spans="1:9">
      <c r="A18" s="195" t="s">
        <v>25</v>
      </c>
      <c r="B18" s="196"/>
      <c r="C18" s="196"/>
      <c r="D18" s="196"/>
      <c r="E18" s="196"/>
      <c r="F18" s="196"/>
      <c r="G18" s="196"/>
      <c r="H18" s="196"/>
      <c r="I18" s="196"/>
    </row>
    <row r="19" ht="67" customHeight="1" spans="1:9">
      <c r="A19" s="197" t="s">
        <v>26</v>
      </c>
      <c r="B19" s="178" t="s">
        <v>27</v>
      </c>
      <c r="C19" s="198" t="s">
        <v>28</v>
      </c>
      <c r="D19" s="199"/>
      <c r="E19" s="180" t="s">
        <v>29</v>
      </c>
      <c r="F19" s="181" t="s">
        <v>30</v>
      </c>
      <c r="G19" s="183"/>
      <c r="H19" s="180" t="s">
        <v>31</v>
      </c>
      <c r="I19" s="200"/>
    </row>
    <row r="20" ht="53" customHeight="1" spans="1:9">
      <c r="A20" s="159"/>
      <c r="B20" s="178" t="s">
        <v>32</v>
      </c>
      <c r="C20" s="201" t="s">
        <v>33</v>
      </c>
      <c r="D20" s="202"/>
      <c r="E20" s="180" t="s">
        <v>34</v>
      </c>
      <c r="F20" s="203" t="s">
        <v>35</v>
      </c>
      <c r="G20" s="204"/>
      <c r="H20" s="204"/>
      <c r="I20" s="205"/>
    </row>
    <row r="21" ht="131" customHeight="1" spans="1:9">
      <c r="A21" s="197" t="s">
        <v>36</v>
      </c>
      <c r="B21" s="178" t="s">
        <v>37</v>
      </c>
      <c r="C21" s="188" t="s">
        <v>30</v>
      </c>
      <c r="D21" s="190"/>
      <c r="E21" s="180" t="s">
        <v>38</v>
      </c>
      <c r="F21" s="201">
        <v>8618002591333</v>
      </c>
      <c r="G21" s="202"/>
      <c r="H21" s="180" t="s">
        <v>39</v>
      </c>
      <c r="I21" s="206" t="s">
        <v>40</v>
      </c>
    </row>
    <row r="22" ht="53" customHeight="1" spans="1:9">
      <c r="A22" s="156" t="s">
        <v>41</v>
      </c>
      <c r="B22" s="156"/>
      <c r="C22" s="156"/>
      <c r="D22" s="156"/>
      <c r="E22" s="156"/>
      <c r="F22" s="156"/>
      <c r="G22" s="156"/>
      <c r="H22" s="156"/>
      <c r="I22" s="156"/>
    </row>
    <row r="23" ht="53" customHeight="1" spans="1:9">
      <c r="A23" s="207" t="s">
        <v>42</v>
      </c>
      <c r="B23" s="208" t="s">
        <v>43</v>
      </c>
      <c r="C23" s="209"/>
      <c r="D23" s="209"/>
      <c r="E23" s="209"/>
      <c r="F23" s="209"/>
      <c r="G23" s="209"/>
      <c r="H23" s="209"/>
      <c r="I23" s="209"/>
    </row>
    <row r="24" ht="68" customHeight="1" spans="1:9">
      <c r="A24" s="207" t="s">
        <v>44</v>
      </c>
      <c r="B24" s="210"/>
      <c r="C24" s="211"/>
      <c r="D24" s="211"/>
      <c r="E24" s="211"/>
      <c r="F24" s="211"/>
      <c r="G24" s="211"/>
      <c r="H24" s="211"/>
      <c r="I24" s="212"/>
    </row>
    <row r="25" ht="64" customHeight="1" spans="1:9">
      <c r="A25" s="213" t="s">
        <v>45</v>
      </c>
      <c r="B25" s="159"/>
      <c r="C25" s="159"/>
      <c r="D25" s="159"/>
      <c r="E25" s="159"/>
      <c r="F25" s="159"/>
      <c r="G25" s="159"/>
      <c r="H25" s="159"/>
      <c r="I25" s="159"/>
    </row>
    <row r="28" ht="14.4" spans="1:9">
      <c r="B28"/>
    </row>
  </sheetData>
  <protectedRanges>
    <protectedRange sqref="E13:H15 B13:B16 B18:B19" name="区域2_3"/>
  </protectedRanges>
  <mergeCells count="26">
    <mergeCell ref="A1:I1"/>
    <mergeCell ref="A2:E2"/>
    <mergeCell ref="F2:I2"/>
    <mergeCell ref="A12:I12"/>
    <mergeCell ref="B13:C13"/>
    <mergeCell ref="E13:G13"/>
    <mergeCell ref="B14:C14"/>
    <mergeCell ref="E14:G14"/>
    <mergeCell ref="B15:C15"/>
    <mergeCell ref="E15:I15"/>
    <mergeCell ref="B16:I16"/>
    <mergeCell ref="B17:I17"/>
    <mergeCell ref="A18:I18"/>
    <mergeCell ref="C19:D19"/>
    <mergeCell ref="F19:G19"/>
    <mergeCell ref="C20:D20"/>
    <mergeCell ref="F20:I20"/>
    <mergeCell ref="C21:D21"/>
    <mergeCell ref="F21:G21"/>
    <mergeCell ref="A22:I22"/>
    <mergeCell ref="B23:I23"/>
    <mergeCell ref="B24:I24"/>
    <mergeCell ref="B25:I25"/>
    <mergeCell ref="A3:A11"/>
    <mergeCell ref="A19:A20"/>
    <mergeCell ref="F4:I11"/>
  </mergeCells>
  <dataValidations count="6">
    <dataValidation allowBlank="1" showInputMessage="1" sqref="A13 D13 A14:C14 B19:D19 F19:H19 F20:I20 A23:A24 D16:D18 H13:H14"/>
    <dataValidation type="list" allowBlank="1" showInputMessage="1" showErrorMessage="1" sqref="B16:C16 C17 B18:C18">
      <formula1>"有限公司、股份有限公司,个体户、个人独资企业"</formula1>
    </dataValidation>
    <dataValidation type="list" allowBlank="1" showInputMessage="1" showErrorMessage="1" sqref="B17">
      <formula1>"仅远程销售（网络、电话等）,线下销售,两者均有"</formula1>
    </dataValidation>
    <dataValidation type="list" allowBlank="1" showInputMessage="1" showErrorMessage="1" sqref="I19">
      <formula1>"男,女"</formula1>
    </dataValidation>
    <dataValidation type="list" allowBlank="1" sqref="C20">
      <formula1>"居民身份证DNI,港澳居民居住证DNI de Hong Kong y Macao,台湾居民居住证DNI de Taiwán,护照Pasaporte,其他Otros"</formula1>
    </dataValidation>
    <dataValidation allowBlank="1" showInputMessage="1" showErrorMessage="1" sqref="C3:C11"/>
  </dataValidations>
  <hyperlinks>
    <hyperlink ref="I21" r:id="rId39" display="benny@geekstech.cn"/>
    <hyperlink ref="B23" r:id="rId40" display="https://www.amazon.fr/sp?seller=A5F7V1NVCKQ69"/>
  </hyperlinks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Check Box 2" r:id="rId3">
              <controlPr defaultSize="0">
                <anchor moveWithCells="1">
                  <from>
                    <xdr:col>2</xdr:col>
                    <xdr:colOff>266700</xdr:colOff>
                    <xdr:row>3</xdr:row>
                    <xdr:rowOff>123825</xdr:rowOff>
                  </from>
                  <to>
                    <xdr:col>3</xdr:col>
                    <xdr:colOff>0</xdr:colOff>
                    <xdr:row>3</xdr:row>
                    <xdr:rowOff>340995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Check Box 3" r:id="rId4">
              <controlPr defaultSize="0">
                <anchor moveWithCells="1">
                  <from>
                    <xdr:col>2</xdr:col>
                    <xdr:colOff>266700</xdr:colOff>
                    <xdr:row>4</xdr:row>
                    <xdr:rowOff>123825</xdr:rowOff>
                  </from>
                  <to>
                    <xdr:col>3</xdr:col>
                    <xdr:colOff>0</xdr:colOff>
                    <xdr:row>4</xdr:row>
                    <xdr:rowOff>340995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Check Box 4" r:id="rId5">
              <controlPr defaultSize="0">
                <anchor moveWithCells="1">
                  <from>
                    <xdr:col>2</xdr:col>
                    <xdr:colOff>266700</xdr:colOff>
                    <xdr:row>5</xdr:row>
                    <xdr:rowOff>123825</xdr:rowOff>
                  </from>
                  <to>
                    <xdr:col>3</xdr:col>
                    <xdr:colOff>0</xdr:colOff>
                    <xdr:row>5</xdr:row>
                    <xdr:rowOff>340995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name="Check Box 5" r:id="rId6">
              <controlPr defaultSize="0">
                <anchor moveWithCells="1">
                  <from>
                    <xdr:col>2</xdr:col>
                    <xdr:colOff>266700</xdr:colOff>
                    <xdr:row>6</xdr:row>
                    <xdr:rowOff>123825</xdr:rowOff>
                  </from>
                  <to>
                    <xdr:col>3</xdr:col>
                    <xdr:colOff>0</xdr:colOff>
                    <xdr:row>6</xdr:row>
                    <xdr:rowOff>340995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7">
              <controlPr defaultSize="0">
                <anchor moveWithCells="1">
                  <from>
                    <xdr:col>2</xdr:col>
                    <xdr:colOff>266700</xdr:colOff>
                    <xdr:row>7</xdr:row>
                    <xdr:rowOff>123825</xdr:rowOff>
                  </from>
                  <to>
                    <xdr:col>3</xdr:col>
                    <xdr:colOff>0</xdr:colOff>
                    <xdr:row>7</xdr:row>
                    <xdr:rowOff>340995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7" r:id="rId8">
              <controlPr defaultSize="0">
                <anchor moveWithCells="1">
                  <from>
                    <xdr:col>2</xdr:col>
                    <xdr:colOff>266700</xdr:colOff>
                    <xdr:row>8</xdr:row>
                    <xdr:rowOff>123825</xdr:rowOff>
                  </from>
                  <to>
                    <xdr:col>3</xdr:col>
                    <xdr:colOff>0</xdr:colOff>
                    <xdr:row>8</xdr:row>
                    <xdr:rowOff>340995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8" r:id="rId9">
              <controlPr defaultSize="0">
                <anchor moveWithCells="1">
                  <from>
                    <xdr:col>2</xdr:col>
                    <xdr:colOff>266700</xdr:colOff>
                    <xdr:row>9</xdr:row>
                    <xdr:rowOff>123825</xdr:rowOff>
                  </from>
                  <to>
                    <xdr:col>3</xdr:col>
                    <xdr:colOff>0</xdr:colOff>
                    <xdr:row>9</xdr:row>
                    <xdr:rowOff>340995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name="Check Box 9" r:id="rId10">
              <controlPr defaultSize="0">
                <anchor moveWithCells="1">
                  <from>
                    <xdr:col>2</xdr:col>
                    <xdr:colOff>266700</xdr:colOff>
                    <xdr:row>10</xdr:row>
                    <xdr:rowOff>123825</xdr:rowOff>
                  </from>
                  <to>
                    <xdr:col>3</xdr:col>
                    <xdr:colOff>0</xdr:colOff>
                    <xdr:row>10</xdr:row>
                    <xdr:rowOff>340995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name="Check Box 10" r:id="rId11">
              <controlPr defaultSize="0">
                <anchor moveWithCells="1">
                  <from>
                    <xdr:col>3</xdr:col>
                    <xdr:colOff>142875</xdr:colOff>
                    <xdr:row>3</xdr:row>
                    <xdr:rowOff>123825</xdr:rowOff>
                  </from>
                  <to>
                    <xdr:col>3</xdr:col>
                    <xdr:colOff>1057275</xdr:colOff>
                    <xdr:row>3</xdr:row>
                    <xdr:rowOff>337820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name="Check Box 11" r:id="rId12">
              <controlPr defaultSize="0">
                <anchor moveWithCells="1">
                  <from>
                    <xdr:col>3</xdr:col>
                    <xdr:colOff>142875</xdr:colOff>
                    <xdr:row>4</xdr:row>
                    <xdr:rowOff>123825</xdr:rowOff>
                  </from>
                  <to>
                    <xdr:col>3</xdr:col>
                    <xdr:colOff>1057275</xdr:colOff>
                    <xdr:row>4</xdr:row>
                    <xdr:rowOff>337820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name="Check Box 12" r:id="rId13">
              <controlPr defaultSize="0">
                <anchor moveWithCells="1">
                  <from>
                    <xdr:col>3</xdr:col>
                    <xdr:colOff>142875</xdr:colOff>
                    <xdr:row>5</xdr:row>
                    <xdr:rowOff>123825</xdr:rowOff>
                  </from>
                  <to>
                    <xdr:col>3</xdr:col>
                    <xdr:colOff>1057275</xdr:colOff>
                    <xdr:row>5</xdr:row>
                    <xdr:rowOff>337820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name="Check Box 13" r:id="rId14">
              <controlPr defaultSize="0">
                <anchor moveWithCells="1">
                  <from>
                    <xdr:col>3</xdr:col>
                    <xdr:colOff>142875</xdr:colOff>
                    <xdr:row>6</xdr:row>
                    <xdr:rowOff>123825</xdr:rowOff>
                  </from>
                  <to>
                    <xdr:col>3</xdr:col>
                    <xdr:colOff>1057275</xdr:colOff>
                    <xdr:row>6</xdr:row>
                    <xdr:rowOff>337820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name="Check Box 14" r:id="rId15">
              <controlPr defaultSize="0">
                <anchor moveWithCells="1">
                  <from>
                    <xdr:col>3</xdr:col>
                    <xdr:colOff>142875</xdr:colOff>
                    <xdr:row>7</xdr:row>
                    <xdr:rowOff>123825</xdr:rowOff>
                  </from>
                  <to>
                    <xdr:col>3</xdr:col>
                    <xdr:colOff>1057275</xdr:colOff>
                    <xdr:row>7</xdr:row>
                    <xdr:rowOff>337820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name="Check Box 15" r:id="rId16">
              <controlPr defaultSize="0">
                <anchor moveWithCells="1">
                  <from>
                    <xdr:col>3</xdr:col>
                    <xdr:colOff>142875</xdr:colOff>
                    <xdr:row>8</xdr:row>
                    <xdr:rowOff>123825</xdr:rowOff>
                  </from>
                  <to>
                    <xdr:col>3</xdr:col>
                    <xdr:colOff>1057275</xdr:colOff>
                    <xdr:row>8</xdr:row>
                    <xdr:rowOff>337820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name="Check Box 16" r:id="rId17">
              <controlPr defaultSize="0">
                <anchor moveWithCells="1">
                  <from>
                    <xdr:col>3</xdr:col>
                    <xdr:colOff>142875</xdr:colOff>
                    <xdr:row>9</xdr:row>
                    <xdr:rowOff>123825</xdr:rowOff>
                  </from>
                  <to>
                    <xdr:col>3</xdr:col>
                    <xdr:colOff>1057275</xdr:colOff>
                    <xdr:row>9</xdr:row>
                    <xdr:rowOff>337820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name="Check Box 17" r:id="rId18">
              <controlPr defaultSize="0">
                <anchor moveWithCells="1">
                  <from>
                    <xdr:col>3</xdr:col>
                    <xdr:colOff>142875</xdr:colOff>
                    <xdr:row>10</xdr:row>
                    <xdr:rowOff>123825</xdr:rowOff>
                  </from>
                  <to>
                    <xdr:col>3</xdr:col>
                    <xdr:colOff>1057275</xdr:colOff>
                    <xdr:row>10</xdr:row>
                    <xdr:rowOff>337820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name="Check Box 18" r:id="rId19">
              <controlPr defaultSize="0">
                <anchor moveWithCells="1">
                  <from>
                    <xdr:col>4</xdr:col>
                    <xdr:colOff>104775</xdr:colOff>
                    <xdr:row>3</xdr:row>
                    <xdr:rowOff>114300</xdr:rowOff>
                  </from>
                  <to>
                    <xdr:col>4</xdr:col>
                    <xdr:colOff>1019175</xdr:colOff>
                    <xdr:row>3</xdr:row>
                    <xdr:rowOff>331470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name="Check Box 28" r:id="rId20">
              <controlPr defaultSize="0">
                <anchor moveWithCells="1">
                  <from>
                    <xdr:col>4</xdr:col>
                    <xdr:colOff>104775</xdr:colOff>
                    <xdr:row>4</xdr:row>
                    <xdr:rowOff>114300</xdr:rowOff>
                  </from>
                  <to>
                    <xdr:col>4</xdr:col>
                    <xdr:colOff>1019175</xdr:colOff>
                    <xdr:row>4</xdr:row>
                    <xdr:rowOff>331470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name="Check Box 29" r:id="rId21">
              <controlPr defaultSize="0">
                <anchor moveWithCells="1">
                  <from>
                    <xdr:col>4</xdr:col>
                    <xdr:colOff>104775</xdr:colOff>
                    <xdr:row>5</xdr:row>
                    <xdr:rowOff>114300</xdr:rowOff>
                  </from>
                  <to>
                    <xdr:col>4</xdr:col>
                    <xdr:colOff>1019175</xdr:colOff>
                    <xdr:row>5</xdr:row>
                    <xdr:rowOff>331470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name="Check Box 30" r:id="rId22">
              <controlPr defaultSize="0">
                <anchor moveWithCells="1">
                  <from>
                    <xdr:col>4</xdr:col>
                    <xdr:colOff>104775</xdr:colOff>
                    <xdr:row>6</xdr:row>
                    <xdr:rowOff>114300</xdr:rowOff>
                  </from>
                  <to>
                    <xdr:col>4</xdr:col>
                    <xdr:colOff>1019175</xdr:colOff>
                    <xdr:row>6</xdr:row>
                    <xdr:rowOff>331470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name="Check Box 31" r:id="rId23">
              <controlPr defaultSize="0">
                <anchor moveWithCells="1">
                  <from>
                    <xdr:col>4</xdr:col>
                    <xdr:colOff>104775</xdr:colOff>
                    <xdr:row>7</xdr:row>
                    <xdr:rowOff>114300</xdr:rowOff>
                  </from>
                  <to>
                    <xdr:col>4</xdr:col>
                    <xdr:colOff>1019175</xdr:colOff>
                    <xdr:row>7</xdr:row>
                    <xdr:rowOff>331470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name="Check Box 32" r:id="rId24">
              <controlPr defaultSize="0">
                <anchor moveWithCells="1">
                  <from>
                    <xdr:col>4</xdr:col>
                    <xdr:colOff>104775</xdr:colOff>
                    <xdr:row>8</xdr:row>
                    <xdr:rowOff>114300</xdr:rowOff>
                  </from>
                  <to>
                    <xdr:col>4</xdr:col>
                    <xdr:colOff>1019175</xdr:colOff>
                    <xdr:row>8</xdr:row>
                    <xdr:rowOff>331470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name="Check Box 33" r:id="rId25">
              <controlPr defaultSize="0">
                <anchor moveWithCells="1">
                  <from>
                    <xdr:col>4</xdr:col>
                    <xdr:colOff>104775</xdr:colOff>
                    <xdr:row>9</xdr:row>
                    <xdr:rowOff>114300</xdr:rowOff>
                  </from>
                  <to>
                    <xdr:col>4</xdr:col>
                    <xdr:colOff>1019175</xdr:colOff>
                    <xdr:row>9</xdr:row>
                    <xdr:rowOff>331470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name="Check Box 34" r:id="rId26">
              <controlPr defaultSize="0">
                <anchor moveWithCells="1">
                  <from>
                    <xdr:col>4</xdr:col>
                    <xdr:colOff>104775</xdr:colOff>
                    <xdr:row>10</xdr:row>
                    <xdr:rowOff>114300</xdr:rowOff>
                  </from>
                  <to>
                    <xdr:col>4</xdr:col>
                    <xdr:colOff>1019175</xdr:colOff>
                    <xdr:row>10</xdr:row>
                    <xdr:rowOff>331470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name="Check Box 37" r:id="rId27">
              <controlPr defaultSize="0">
                <anchor moveWithCells="1" sizeWithCells="1">
                  <from>
                    <xdr:col>1</xdr:col>
                    <xdr:colOff>238125</xdr:colOff>
                    <xdr:row>3</xdr:row>
                    <xdr:rowOff>95250</xdr:rowOff>
                  </from>
                  <to>
                    <xdr:col>1</xdr:col>
                    <xdr:colOff>1238250</xdr:colOff>
                    <xdr:row>3</xdr:row>
                    <xdr:rowOff>369570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name="Check Box 38" r:id="rId28">
              <controlPr defaultSize="0">
                <anchor moveWithCells="1">
                  <from>
                    <xdr:col>1</xdr:col>
                    <xdr:colOff>200025</xdr:colOff>
                    <xdr:row>4</xdr:row>
                    <xdr:rowOff>104775</xdr:rowOff>
                  </from>
                  <to>
                    <xdr:col>1</xdr:col>
                    <xdr:colOff>1114425</xdr:colOff>
                    <xdr:row>4</xdr:row>
                    <xdr:rowOff>321945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name="Check Box 39" r:id="rId29">
              <controlPr defaultSize="0">
                <anchor moveWithCells="1">
                  <from>
                    <xdr:col>1</xdr:col>
                    <xdr:colOff>200025</xdr:colOff>
                    <xdr:row>5</xdr:row>
                    <xdr:rowOff>104775</xdr:rowOff>
                  </from>
                  <to>
                    <xdr:col>1</xdr:col>
                    <xdr:colOff>1114425</xdr:colOff>
                    <xdr:row>5</xdr:row>
                    <xdr:rowOff>321945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name="Check Box 40" r:id="rId30">
              <controlPr defaultSize="0">
                <anchor moveWithCells="1">
                  <from>
                    <xdr:col>1</xdr:col>
                    <xdr:colOff>200025</xdr:colOff>
                    <xdr:row>6</xdr:row>
                    <xdr:rowOff>123825</xdr:rowOff>
                  </from>
                  <to>
                    <xdr:col>1</xdr:col>
                    <xdr:colOff>1114425</xdr:colOff>
                    <xdr:row>6</xdr:row>
                    <xdr:rowOff>340995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name="Check Box 41" r:id="rId31">
              <controlPr defaultSize="0">
                <anchor moveWithCells="1">
                  <from>
                    <xdr:col>1</xdr:col>
                    <xdr:colOff>200025</xdr:colOff>
                    <xdr:row>7</xdr:row>
                    <xdr:rowOff>133350</xdr:rowOff>
                  </from>
                  <to>
                    <xdr:col>1</xdr:col>
                    <xdr:colOff>1114425</xdr:colOff>
                    <xdr:row>7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name="Check Box 42" r:id="rId32">
              <controlPr defaultSize="0">
                <anchor moveWithCells="1">
                  <from>
                    <xdr:col>1</xdr:col>
                    <xdr:colOff>200025</xdr:colOff>
                    <xdr:row>8</xdr:row>
                    <xdr:rowOff>133350</xdr:rowOff>
                  </from>
                  <to>
                    <xdr:col>1</xdr:col>
                    <xdr:colOff>1114425</xdr:colOff>
                    <xdr:row>8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name="Check Box 43" r:id="rId33">
              <controlPr defaultSize="0">
                <anchor moveWithCells="1">
                  <from>
                    <xdr:col>1</xdr:col>
                    <xdr:colOff>209550</xdr:colOff>
                    <xdr:row>9</xdr:row>
                    <xdr:rowOff>133350</xdr:rowOff>
                  </from>
                  <to>
                    <xdr:col>1</xdr:col>
                    <xdr:colOff>1123950</xdr:colOff>
                    <xdr:row>9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name="Check Box 44" r:id="rId34">
              <controlPr defaultSize="0">
                <anchor moveWithCells="1">
                  <from>
                    <xdr:col>1</xdr:col>
                    <xdr:colOff>209550</xdr:colOff>
                    <xdr:row>10</xdr:row>
                    <xdr:rowOff>123825</xdr:rowOff>
                  </from>
                  <to>
                    <xdr:col>1</xdr:col>
                    <xdr:colOff>1123950</xdr:colOff>
                    <xdr:row>10</xdr:row>
                    <xdr:rowOff>340995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name="Check Box 45" r:id="rId35">
              <controlPr defaultSize="0">
                <anchor moveWithCells="1">
                  <from>
                    <xdr:col>2</xdr:col>
                    <xdr:colOff>266700</xdr:colOff>
                    <xdr:row>2</xdr:row>
                    <xdr:rowOff>123825</xdr:rowOff>
                  </from>
                  <to>
                    <xdr:col>3</xdr:col>
                    <xdr:colOff>0</xdr:colOff>
                    <xdr:row>2</xdr:row>
                    <xdr:rowOff>340995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name="Check Box 46" r:id="rId36">
              <controlPr defaultSize="0">
                <anchor moveWithCells="1">
                  <from>
                    <xdr:col>3</xdr:col>
                    <xdr:colOff>142875</xdr:colOff>
                    <xdr:row>2</xdr:row>
                    <xdr:rowOff>123825</xdr:rowOff>
                  </from>
                  <to>
                    <xdr:col>3</xdr:col>
                    <xdr:colOff>1057275</xdr:colOff>
                    <xdr:row>2</xdr:row>
                    <xdr:rowOff>337820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name="Check Box 47" r:id="rId37">
              <controlPr defaultSize="0">
                <anchor moveWithCells="1">
                  <from>
                    <xdr:col>4</xdr:col>
                    <xdr:colOff>104775</xdr:colOff>
                    <xdr:row>2</xdr:row>
                    <xdr:rowOff>114300</xdr:rowOff>
                  </from>
                  <to>
                    <xdr:col>4</xdr:col>
                    <xdr:colOff>1019175</xdr:colOff>
                    <xdr:row>2</xdr:row>
                    <xdr:rowOff>331470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name="Check Box 48" r:id="rId38">
              <controlPr defaultSize="0">
                <anchor moveWithCells="1" sizeWithCells="1">
                  <from>
                    <xdr:col>1</xdr:col>
                    <xdr:colOff>238125</xdr:colOff>
                    <xdr:row>2</xdr:row>
                    <xdr:rowOff>95250</xdr:rowOff>
                  </from>
                  <to>
                    <xdr:col>1</xdr:col>
                    <xdr:colOff>1238250</xdr:colOff>
                    <xdr:row>2</xdr:row>
                    <xdr:rowOff>369570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61"/>
  <sheetViews>
    <sheetView topLeftCell="A24" workbookViewId="0">
      <selection activeCell="C32" sqref="C32"/>
    </sheetView>
  </sheetViews>
  <sheetFormatPr defaultColWidth="8.88888888888889" defaultRowHeight="14.4"/>
  <cols>
    <col min="1" max="1" width="27.4444444444444" style="92" customWidth="1"/>
    <col min="2" max="2" width="30" style="92" customWidth="1"/>
    <col min="3" max="6" width="24.3333333333333" style="92" customWidth="1"/>
    <col min="7" max="7" width="8.88888888888889" style="92"/>
    <col min="8" max="8" width="13.4351851851852" style="92"/>
    <col min="9" max="9" width="28.4259259259259" style="92"/>
    <col min="10" max="16384" width="8.88888888888889" style="92"/>
  </cols>
  <sheetData>
    <row r="1" ht="37" customHeight="1" spans="1:6">
      <c r="A1" s="74" t="s">
        <v>46</v>
      </c>
      <c r="B1" s="74"/>
      <c r="C1" s="74"/>
      <c r="D1" s="74"/>
      <c r="E1" s="74"/>
      <c r="F1" s="74"/>
    </row>
    <row r="2" ht="68" customHeight="1" spans="1:6">
      <c r="A2" s="93" t="s">
        <v>47</v>
      </c>
      <c r="B2" s="94"/>
      <c r="C2" s="94"/>
      <c r="D2" s="93" t="s">
        <v>48</v>
      </c>
      <c r="E2" s="94"/>
      <c r="F2" s="94"/>
    </row>
    <row r="3" ht="57.6" spans="1:6">
      <c r="A3" s="94" t="s">
        <v>49</v>
      </c>
      <c r="B3" s="95" t="s">
        <v>50</v>
      </c>
      <c r="C3" s="94" t="s">
        <v>51</v>
      </c>
      <c r="D3" s="96" t="s">
        <v>52</v>
      </c>
      <c r="E3" s="96" t="s">
        <v>53</v>
      </c>
      <c r="F3" s="94" t="s">
        <v>54</v>
      </c>
    </row>
    <row r="4" ht="28.8" spans="1:6">
      <c r="A4" s="97"/>
      <c r="B4" s="94" t="s">
        <v>55</v>
      </c>
      <c r="C4" s="94"/>
      <c r="D4" s="94"/>
      <c r="E4" s="94"/>
      <c r="F4" s="98"/>
    </row>
    <row r="5" spans="1:6">
      <c r="A5" s="97"/>
      <c r="B5" s="94"/>
      <c r="C5" s="99"/>
      <c r="D5" s="94"/>
      <c r="E5" s="94"/>
      <c r="F5" s="98"/>
    </row>
    <row r="6" spans="1:6">
      <c r="A6" s="97"/>
      <c r="B6" s="94"/>
      <c r="C6" s="99"/>
      <c r="D6" s="94"/>
      <c r="E6" s="94"/>
      <c r="F6" s="98"/>
    </row>
    <row r="7" spans="1:6">
      <c r="A7" s="97"/>
      <c r="B7" s="94"/>
      <c r="C7" s="99"/>
      <c r="D7" s="94"/>
      <c r="E7" s="94"/>
      <c r="F7" s="98"/>
    </row>
    <row r="8" spans="1:6">
      <c r="A8" s="97"/>
      <c r="B8" s="94"/>
      <c r="C8" s="99"/>
      <c r="D8" s="94"/>
      <c r="E8" s="94"/>
      <c r="F8" s="98"/>
    </row>
    <row r="9" spans="1:6">
      <c r="A9" s="97"/>
      <c r="B9" s="94"/>
      <c r="C9" s="94"/>
      <c r="D9" s="94"/>
      <c r="E9" s="94"/>
      <c r="F9" s="98"/>
    </row>
    <row r="11" ht="15.15"/>
    <row r="12" ht="34" customHeight="1" spans="1:6">
      <c r="A12" s="100" t="s">
        <v>56</v>
      </c>
      <c r="B12" s="101"/>
      <c r="C12" s="101"/>
      <c r="D12" s="101"/>
      <c r="E12" s="101"/>
      <c r="F12" s="101"/>
    </row>
    <row r="13" ht="49" customHeight="1" spans="1:6">
      <c r="A13" s="102" t="s">
        <v>57</v>
      </c>
      <c r="B13" s="103"/>
      <c r="C13" s="103"/>
      <c r="D13" s="103"/>
      <c r="E13" s="103"/>
      <c r="F13" s="104"/>
    </row>
    <row r="14" ht="49" customHeight="1" spans="1:6">
      <c r="A14" s="105" t="s">
        <v>58</v>
      </c>
      <c r="B14" s="106"/>
      <c r="C14" s="107" t="s">
        <v>59</v>
      </c>
      <c r="D14" s="106"/>
      <c r="E14" s="106"/>
      <c r="F14" s="108"/>
    </row>
    <row r="15" ht="49" customHeight="1" spans="1:6">
      <c r="A15" s="109" t="s">
        <v>60</v>
      </c>
      <c r="B15" s="110"/>
      <c r="C15" s="107"/>
      <c r="D15" s="106"/>
      <c r="E15" s="106"/>
      <c r="F15" s="108"/>
    </row>
    <row r="16" ht="49" customHeight="1" spans="1:6">
      <c r="A16" s="102" t="s">
        <v>61</v>
      </c>
      <c r="B16" s="103"/>
      <c r="C16" s="103"/>
      <c r="D16" s="103"/>
      <c r="E16" s="103"/>
      <c r="F16" s="104"/>
    </row>
    <row r="17" ht="74" customHeight="1" spans="1:14">
      <c r="A17" s="111" t="s">
        <v>62</v>
      </c>
      <c r="B17" s="112"/>
      <c r="C17" s="113" t="s">
        <v>63</v>
      </c>
      <c r="D17" s="113" t="s">
        <v>64</v>
      </c>
      <c r="E17" s="114" t="s">
        <v>65</v>
      </c>
      <c r="F17" s="114" t="s">
        <v>66</v>
      </c>
      <c r="H17" s="115" t="str">
        <f>_xlfn.DISPIMG("ID_487959B0E79B4EEE80DB49B150E3B0AF",1)</f>
        <v>=DISPIMG("ID_487959B0E79B4EEE80DB49B150E3B0AF",1)</v>
      </c>
      <c r="I17" s="116"/>
    </row>
    <row r="18" ht="31" customHeight="1" spans="1:14">
      <c r="A18" s="117"/>
      <c r="B18" s="108"/>
      <c r="C18" s="118"/>
      <c r="D18" s="118">
        <f t="shared" ref="D18:D22" si="0">C18*E18/1000</f>
        <v>0</v>
      </c>
      <c r="E18" s="118"/>
      <c r="F18" s="118"/>
      <c r="H18" s="115"/>
      <c r="I18" s="116"/>
    </row>
    <row r="19" ht="31" customHeight="1" spans="1:14">
      <c r="A19" s="117"/>
      <c r="B19" s="108"/>
      <c r="C19" s="118"/>
      <c r="D19" s="118">
        <f t="shared" si="0"/>
        <v>0</v>
      </c>
      <c r="E19" s="118"/>
      <c r="F19" s="118"/>
      <c r="H19" s="116"/>
      <c r="I19" s="116"/>
    </row>
    <row r="20" ht="31" customHeight="1" spans="1:14">
      <c r="A20" s="117"/>
      <c r="B20" s="108"/>
      <c r="C20" s="118"/>
      <c r="D20" s="118">
        <f t="shared" si="0"/>
        <v>0</v>
      </c>
      <c r="E20" s="118"/>
      <c r="F20" s="118"/>
      <c r="H20" s="116"/>
      <c r="I20" s="116"/>
    </row>
    <row r="21" ht="31" customHeight="1" spans="1:14">
      <c r="A21" s="117"/>
      <c r="B21" s="108"/>
      <c r="C21" s="118"/>
      <c r="D21" s="118">
        <f t="shared" si="0"/>
        <v>0</v>
      </c>
      <c r="E21" s="118"/>
      <c r="F21" s="118"/>
      <c r="H21" s="116"/>
      <c r="I21" s="116"/>
    </row>
    <row r="22" ht="31" customHeight="1" spans="1:14">
      <c r="A22" s="117"/>
      <c r="B22" s="108"/>
      <c r="C22" s="118"/>
      <c r="D22" s="118">
        <f t="shared" si="0"/>
        <v>0</v>
      </c>
      <c r="E22" s="118"/>
      <c r="F22" s="118"/>
      <c r="H22" s="116"/>
      <c r="I22" s="116"/>
    </row>
    <row r="23" ht="38" customHeight="1" spans="1:14">
      <c r="A23" s="119" t="s">
        <v>67</v>
      </c>
      <c r="B23" s="120"/>
      <c r="C23" s="120"/>
      <c r="D23" s="121"/>
      <c r="E23" s="120"/>
      <c r="F23" s="122"/>
    </row>
    <row r="24" ht="56" customHeight="1" spans="1:14">
      <c r="A24" s="75" t="s">
        <v>68</v>
      </c>
      <c r="B24" s="123">
        <v>46</v>
      </c>
      <c r="C24" s="124"/>
      <c r="D24" s="124"/>
      <c r="E24" s="124"/>
      <c r="F24" s="125"/>
    </row>
    <row r="25" ht="72" customHeight="1" spans="1:14">
      <c r="A25" s="75" t="s">
        <v>69</v>
      </c>
      <c r="B25" s="123" t="s">
        <v>70</v>
      </c>
      <c r="C25" s="124"/>
      <c r="D25" s="124"/>
      <c r="E25" s="124"/>
      <c r="F25" s="125"/>
      <c r="H25" s="92" t="str">
        <f>_xlfn.DISPIMG("ID_1C919F90B81B4CD6A4110EF480FAB48D",1)</f>
        <v>=DISPIMG("ID_1C919F90B81B4CD6A4110EF480FAB48D",1)</v>
      </c>
      <c r="I25" s="126" t="str">
        <f>_xlfn.DISPIMG("ID_982C6B1B6860432494C69ACF93B3D8A7",1)</f>
        <v>=DISPIMG("ID_982C6B1B6860432494C69ACF93B3D8A7",1)</v>
      </c>
      <c r="J25" s="126"/>
      <c r="K25" s="126"/>
      <c r="L25" s="126"/>
      <c r="M25" s="126"/>
      <c r="N25" s="126"/>
    </row>
    <row r="26" ht="44" customHeight="1" spans="1:14">
      <c r="A26" s="127" t="s">
        <v>71</v>
      </c>
      <c r="B26" s="128"/>
      <c r="C26" s="128"/>
      <c r="D26" s="129"/>
      <c r="E26" s="128"/>
      <c r="F26" s="130"/>
    </row>
    <row r="27" ht="28" customHeight="1" spans="1:14">
      <c r="A27" s="131" t="s">
        <v>72</v>
      </c>
      <c r="B27" s="132" t="s">
        <v>73</v>
      </c>
      <c r="C27" s="132" t="s">
        <v>74</v>
      </c>
      <c r="D27" s="132" t="s">
        <v>75</v>
      </c>
      <c r="E27" s="133" t="s">
        <v>76</v>
      </c>
      <c r="F27" s="133" t="s">
        <v>77</v>
      </c>
    </row>
    <row r="28" ht="62" customHeight="1" spans="1:14">
      <c r="A28" s="134" t="s">
        <v>78</v>
      </c>
      <c r="B28" s="135" t="s">
        <v>79</v>
      </c>
      <c r="C28" s="135" t="s">
        <v>80</v>
      </c>
      <c r="D28" s="135" t="s">
        <v>81</v>
      </c>
      <c r="E28" s="136" t="s">
        <v>82</v>
      </c>
      <c r="F28" s="137" t="s">
        <v>82</v>
      </c>
    </row>
    <row r="29" ht="41" customHeight="1" spans="1:14">
      <c r="A29" s="138"/>
      <c r="B29" s="139"/>
      <c r="C29" s="139"/>
      <c r="D29" s="140"/>
      <c r="E29" s="140"/>
      <c r="F29" s="140"/>
    </row>
    <row r="30" ht="41" customHeight="1" spans="1:14">
      <c r="A30" s="138"/>
      <c r="B30" s="139"/>
      <c r="C30" s="139"/>
      <c r="D30" s="141"/>
      <c r="E30" s="142"/>
      <c r="F30" s="143"/>
    </row>
    <row r="31" ht="41" customHeight="1" spans="1:14">
      <c r="A31" s="138"/>
      <c r="B31" s="139"/>
      <c r="C31" s="139"/>
      <c r="D31" s="141"/>
      <c r="E31" s="142"/>
      <c r="F31" s="143"/>
    </row>
    <row r="32" ht="41" customHeight="1" spans="1:14">
      <c r="A32" s="144"/>
      <c r="B32" s="145"/>
      <c r="C32" s="145"/>
      <c r="D32" s="146"/>
      <c r="E32" s="147"/>
      <c r="F32" s="148"/>
    </row>
    <row r="33" ht="62" customHeight="1"/>
    <row r="34" ht="62" customHeight="1"/>
    <row r="35" ht="62" customHeight="1"/>
    <row r="36" ht="62" customHeight="1"/>
    <row r="37" ht="62" customHeight="1"/>
    <row r="38" ht="62" customHeight="1"/>
    <row r="39" ht="62" customHeight="1"/>
    <row r="40" ht="62" customHeight="1"/>
    <row r="41" ht="62" customHeight="1"/>
    <row r="42" ht="62" customHeight="1"/>
    <row r="43" ht="62" customHeight="1"/>
    <row r="44" ht="62" customHeight="1"/>
    <row r="45" ht="62" customHeight="1"/>
    <row r="46" ht="62" customHeight="1"/>
    <row r="47" ht="62" customHeight="1"/>
    <row r="48" ht="62" customHeight="1"/>
    <row r="49" ht="62" customHeight="1"/>
    <row r="50" ht="62" customHeight="1"/>
    <row r="51" ht="62" customHeight="1"/>
    <row r="52" ht="62" customHeight="1"/>
    <row r="53" ht="62" customHeight="1"/>
    <row r="54" ht="62" customHeight="1"/>
    <row r="55" ht="62" customHeight="1"/>
    <row r="56" ht="62" customHeight="1"/>
    <row r="57" ht="62" customHeight="1"/>
    <row r="58" ht="62" customHeight="1"/>
    <row r="59" ht="62" customHeight="1"/>
    <row r="60" ht="62" customHeight="1"/>
    <row r="61" ht="62" customHeight="1"/>
  </sheetData>
  <mergeCells count="22">
    <mergeCell ref="A1:F1"/>
    <mergeCell ref="B2:C2"/>
    <mergeCell ref="E2:F2"/>
    <mergeCell ref="A12:F12"/>
    <mergeCell ref="A13:F13"/>
    <mergeCell ref="A14:B14"/>
    <mergeCell ref="C14:F14"/>
    <mergeCell ref="A15:B15"/>
    <mergeCell ref="C15:F15"/>
    <mergeCell ref="A16:F16"/>
    <mergeCell ref="A17:B17"/>
    <mergeCell ref="A18:B18"/>
    <mergeCell ref="A19:B19"/>
    <mergeCell ref="A20:B20"/>
    <mergeCell ref="A21:B21"/>
    <mergeCell ref="A22:B22"/>
    <mergeCell ref="A23:F23"/>
    <mergeCell ref="B24:F24"/>
    <mergeCell ref="B25:F25"/>
    <mergeCell ref="A26:F26"/>
    <mergeCell ref="A3:A9"/>
    <mergeCell ref="H17:I22"/>
  </mergeCells>
  <dataValidations count="8">
    <dataValidation type="list" allowBlank="1" showErrorMessage="1" sqref="B2">
      <formula1>"网络售卖（家用品）Venta（doméstico),网络售卖（专业用品）Venta（profesional),直销Venta directa"</formula1>
    </dataValidation>
    <dataValidation type="list" allowBlank="1" showErrorMessage="1" sqref="E2">
      <formula1>"西班牙本地生产商Fabricados y puestos en el mercado por la misma empresa,西班牙本地销售商Fabricados por otra empresa en España,西班牙进口商（跨境电商）Importados(Comercio electrónico transfronterizo),西班牙出口商Exportados,从欧盟国家内进口Adquiridos en un pais de la UE"</formula1>
    </dataValidation>
    <dataValidation type="list" allowBlank="1" showErrorMessage="1" sqref="B4">
      <formula1>"热交换器Aparatos de intercambio de temperatura,显示屏或屏幕Monitores o pantallas,照明设备Lámparas,大型电子设备Grandes aparatos,小型电子电器设备Pequeños aparatos,小型IT和电信设备Equipo de informática y telecomunicaciones pequeños,大型光伏面板 Paneles fotovoltaicos grandes"</formula1>
    </dataValidation>
    <dataValidation type="list" allowBlank="1" showInputMessage="1" showErrorMessage="1" sqref="C15:F15">
      <formula1>"2. 网络售卖（家用）Venta a distancia para hogares,3. 网络售卖（专业）Venta a distancia para no hogares"</formula1>
    </dataValidation>
    <dataValidation type="list" allowBlank="1" showInputMessage="1" showErrorMessage="1" sqref="A18:B18">
      <formula1>'电池法类别判定指南（勿动）'!$D$3:$D$48</formula1>
    </dataValidation>
    <dataValidation type="textLength" operator="between" showInputMessage="1" showErrorMessage="1" error="请输入信息" sqref="A28:C28 B24:F25">
      <formula1>1</formula1>
      <formula2>500</formula2>
    </dataValidation>
    <dataValidation type="list" allowBlank="1" showErrorMessage="1" sqref="B5:B9">
      <formula1>"热交换器Aparatos de intercambio de temperatura,显示屏或屏幕Monitores o pantallas,照明设备Lámparas,大型电子设备Grandes aparatos,小型电子电器设备Pequeños aparatos,小型IT和电信设备Equipo de informática y telecomunicaciones pequeños"</formula1>
    </dataValidation>
    <dataValidation type="list" allowBlank="1" showInputMessage="1" showErrorMessage="1" prompt=" -  - " sqref="F18:F22">
      <formula1>"家用Domestico,专业Profesional"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50"/>
  <sheetViews>
    <sheetView tabSelected="1" topLeftCell="A4" workbookViewId="0">
      <selection activeCell="B10" sqref="B10"/>
    </sheetView>
  </sheetViews>
  <sheetFormatPr defaultColWidth="50.7777777777778" defaultRowHeight="37" customHeight="1"/>
  <cols>
    <col min="1" max="1" width="33.8796296296296" style="70" customWidth="1"/>
    <col min="2" max="2" width="33.8796296296296" style="71" customWidth="1"/>
    <col min="3" max="3" width="33.8796296296296" style="72" customWidth="1"/>
    <col min="4" max="4" width="33.8796296296296" style="71" customWidth="1"/>
    <col min="5" max="6" width="50.7777777777778" style="72" customWidth="1"/>
    <col min="7" max="16384" width="50.7777777777778" style="69" customWidth="1"/>
  </cols>
  <sheetData>
    <row r="1" s="69" customFormat="1" customHeight="1" spans="1:6">
      <c r="A1" s="73" t="s">
        <v>83</v>
      </c>
      <c r="B1" s="74"/>
      <c r="C1" s="74"/>
      <c r="D1" s="74"/>
      <c r="E1" s="71"/>
      <c r="F1" s="71"/>
    </row>
    <row r="2" s="69" customFormat="1" ht="79" customHeight="1" spans="1:6">
      <c r="A2" s="75" t="s">
        <v>84</v>
      </c>
      <c r="B2" s="76" t="s">
        <v>85</v>
      </c>
      <c r="C2" s="76" t="s">
        <v>86</v>
      </c>
      <c r="D2" s="76" t="s">
        <v>87</v>
      </c>
      <c r="E2" s="77"/>
    </row>
    <row r="3" s="69" customFormat="1" customHeight="1" spans="1:6">
      <c r="A3" s="78"/>
      <c r="B3" s="78"/>
      <c r="C3" s="78"/>
      <c r="D3" s="79" t="s">
        <v>88</v>
      </c>
    </row>
    <row r="4" s="69" customFormat="1" customHeight="1" spans="1:6">
      <c r="A4" s="78"/>
      <c r="B4" s="78"/>
      <c r="C4" s="78"/>
      <c r="D4" s="80" t="s">
        <v>89</v>
      </c>
    </row>
    <row r="5" s="69" customFormat="1" customHeight="1" spans="1:6">
      <c r="A5" s="78"/>
      <c r="B5" s="78"/>
      <c r="C5" s="78"/>
      <c r="D5" s="81"/>
    </row>
    <row r="6" s="69" customFormat="1" customHeight="1" spans="1:6">
      <c r="A6" s="78"/>
      <c r="B6" s="78"/>
      <c r="C6" s="78"/>
      <c r="D6" s="81"/>
    </row>
    <row r="7" s="69" customFormat="1" customHeight="1" spans="1:6">
      <c r="A7" s="73" t="s">
        <v>90</v>
      </c>
      <c r="B7" s="74"/>
      <c r="C7" s="74"/>
      <c r="D7" s="74"/>
    </row>
    <row r="8" s="69" customFormat="1" ht="61" customHeight="1" spans="1:6">
      <c r="A8" s="75" t="s">
        <v>91</v>
      </c>
      <c r="B8" s="75" t="s">
        <v>92</v>
      </c>
      <c r="C8" s="76" t="s">
        <v>86</v>
      </c>
      <c r="D8" s="76" t="s">
        <v>87</v>
      </c>
    </row>
    <row r="9" s="69" customFormat="1" customHeight="1" spans="1:6">
      <c r="A9" s="78" t="s">
        <v>93</v>
      </c>
      <c r="B9" s="82" t="s">
        <v>94</v>
      </c>
      <c r="C9" s="78" t="s">
        <v>78</v>
      </c>
      <c r="D9" s="79" t="s">
        <v>88</v>
      </c>
    </row>
    <row r="10" s="69" customFormat="1" customHeight="1" spans="1:6">
      <c r="A10" s="78"/>
      <c r="B10" s="78"/>
      <c r="C10" s="78"/>
      <c r="D10" s="80" t="s">
        <v>89</v>
      </c>
    </row>
    <row r="11" s="69" customFormat="1" customHeight="1" spans="1:6">
      <c r="A11" s="78"/>
      <c r="B11" s="78"/>
      <c r="C11" s="78"/>
      <c r="D11" s="81"/>
    </row>
    <row r="12" s="69" customFormat="1" customHeight="1" spans="1:6">
      <c r="A12" s="78"/>
      <c r="B12" s="78"/>
      <c r="C12" s="78"/>
      <c r="D12" s="81"/>
    </row>
    <row r="13" s="69" customFormat="1" ht="56" customHeight="1" spans="1:6">
      <c r="A13" s="83" t="s">
        <v>95</v>
      </c>
      <c r="B13" s="74"/>
      <c r="C13" s="74"/>
      <c r="D13" s="74"/>
    </row>
    <row r="14" s="69" customFormat="1" customHeight="1" spans="1:6">
      <c r="A14" s="84" t="s">
        <v>96</v>
      </c>
      <c r="B14" s="76" t="s">
        <v>85</v>
      </c>
      <c r="C14" s="76" t="s">
        <v>86</v>
      </c>
      <c r="D14" s="78" t="s">
        <v>97</v>
      </c>
    </row>
    <row r="15" s="69" customFormat="1" customHeight="1" spans="1:6">
      <c r="A15" s="85"/>
      <c r="B15" s="85"/>
      <c r="C15" s="85"/>
      <c r="D15" s="81"/>
    </row>
    <row r="16" s="69" customFormat="1" customHeight="1" spans="1:6">
      <c r="A16" s="78"/>
      <c r="B16" s="78"/>
      <c r="C16" s="78"/>
      <c r="D16" s="81"/>
    </row>
    <row r="17" s="69" customFormat="1" customHeight="1" spans="1:10">
      <c r="A17" s="78"/>
      <c r="B17" s="78"/>
      <c r="C17" s="78"/>
      <c r="D17" s="81"/>
    </row>
    <row r="18" s="69" customFormat="1" customHeight="1" spans="1:10">
      <c r="A18" s="78"/>
      <c r="B18" s="78"/>
      <c r="C18" s="78"/>
      <c r="D18" s="81"/>
    </row>
    <row r="19" s="69" customFormat="1" customHeight="1" spans="1:10">
      <c r="A19" s="86"/>
      <c r="B19" s="87"/>
      <c r="C19" s="86"/>
      <c r="D19" s="87"/>
    </row>
    <row r="20" s="69" customFormat="1" customHeight="1" spans="1:10">
      <c r="A20" s="72"/>
      <c r="B20" s="87"/>
      <c r="C20" s="72"/>
      <c r="D20" s="87"/>
      <c r="E20" s="72"/>
      <c r="F20" s="86"/>
    </row>
    <row r="21" s="69" customFormat="1" customHeight="1" spans="1:10">
      <c r="B21" s="71"/>
      <c r="C21" s="71"/>
      <c r="D21" s="71"/>
      <c r="E21" s="71"/>
      <c r="F21" s="71"/>
    </row>
    <row r="22" s="69" customFormat="1" customHeight="1" spans="1:10">
      <c r="B22" s="71"/>
      <c r="C22" s="71"/>
      <c r="D22" s="71"/>
      <c r="E22" s="71"/>
      <c r="F22" s="71"/>
    </row>
    <row r="23" s="69" customFormat="1" customHeight="1" spans="1:10">
      <c r="B23" s="71"/>
      <c r="C23" s="71"/>
      <c r="D23" s="71"/>
      <c r="E23" s="71"/>
      <c r="F23" s="71"/>
    </row>
    <row r="24" s="69" customFormat="1" customHeight="1" spans="1:10">
      <c r="B24" s="71"/>
      <c r="C24" s="71"/>
      <c r="D24" s="71"/>
      <c r="E24" s="71"/>
      <c r="F24" s="71"/>
    </row>
    <row r="25" s="69" customFormat="1" customHeight="1" spans="1:10">
      <c r="B25" s="71"/>
      <c r="C25" s="71"/>
      <c r="D25" s="71"/>
      <c r="E25" s="71"/>
      <c r="F25" s="71"/>
    </row>
    <row r="26" s="69" customFormat="1" customHeight="1" spans="1:10">
      <c r="B26" s="71"/>
      <c r="C26" s="71"/>
      <c r="D26" s="71"/>
      <c r="E26" s="71"/>
      <c r="F26" s="71"/>
    </row>
    <row r="27" s="69" customFormat="1" customHeight="1" spans="1:10">
      <c r="B27" s="71"/>
      <c r="C27" s="71"/>
      <c r="D27" s="71"/>
      <c r="E27" s="71"/>
      <c r="F27" s="71"/>
      <c r="I27" s="88"/>
      <c r="J27" s="70"/>
    </row>
    <row r="28" s="69" customFormat="1" customHeight="1" spans="1:10">
      <c r="B28" s="71"/>
      <c r="C28" s="71"/>
      <c r="D28" s="71"/>
      <c r="E28" s="71"/>
      <c r="F28" s="71"/>
      <c r="J28" s="70"/>
    </row>
    <row r="29" s="69" customFormat="1" customHeight="1" spans="1:10">
      <c r="B29" s="71"/>
      <c r="C29" s="71"/>
      <c r="D29" s="71"/>
      <c r="E29" s="71"/>
      <c r="F29" s="71"/>
      <c r="J29" s="70"/>
    </row>
    <row r="30" s="69" customFormat="1" customHeight="1" spans="1:10">
      <c r="B30" s="71"/>
      <c r="C30" s="71"/>
      <c r="D30" s="71"/>
      <c r="E30" s="71"/>
      <c r="F30" s="71"/>
      <c r="J30" s="70"/>
    </row>
    <row r="31" s="69" customFormat="1" customHeight="1" spans="1:10">
      <c r="B31" s="71"/>
      <c r="C31" s="71"/>
      <c r="D31" s="71"/>
      <c r="E31" s="71"/>
      <c r="F31" s="71"/>
      <c r="J31" s="70"/>
    </row>
    <row r="32" s="69" customFormat="1" customHeight="1" spans="1:10">
      <c r="B32" s="71"/>
      <c r="C32" s="71"/>
      <c r="D32" s="71"/>
      <c r="E32" s="71"/>
      <c r="F32" s="71"/>
      <c r="J32" s="70"/>
    </row>
    <row r="33" s="69" customFormat="1" customHeight="1" spans="1:8">
      <c r="B33" s="71"/>
      <c r="C33" s="71"/>
      <c r="D33" s="71"/>
      <c r="E33" s="71"/>
      <c r="F33" s="71"/>
    </row>
    <row r="34" s="69" customFormat="1" customHeight="1" spans="1:8">
      <c r="B34" s="71"/>
      <c r="C34" s="71"/>
      <c r="D34" s="71"/>
      <c r="E34" s="71"/>
      <c r="F34" s="71"/>
      <c r="H34" s="89"/>
    </row>
    <row r="35" s="69" customFormat="1" customHeight="1" spans="1:8">
      <c r="B35" s="71"/>
      <c r="C35" s="71"/>
      <c r="D35" s="71"/>
      <c r="E35" s="71"/>
      <c r="F35" s="71"/>
      <c r="H35" s="89"/>
    </row>
    <row r="36" s="69" customFormat="1" customHeight="1" spans="1:8">
      <c r="B36" s="71"/>
      <c r="C36" s="71"/>
      <c r="D36" s="71"/>
      <c r="E36" s="71"/>
      <c r="F36" s="71"/>
      <c r="H36" s="89"/>
    </row>
    <row r="37" s="69" customFormat="1" customHeight="1" spans="1:8">
      <c r="B37" s="71"/>
      <c r="C37" s="71"/>
      <c r="D37" s="71"/>
      <c r="E37" s="71"/>
      <c r="F37" s="71"/>
      <c r="H37" s="89"/>
    </row>
    <row r="38" s="69" customFormat="1" customHeight="1" spans="1:8">
      <c r="B38" s="71"/>
      <c r="C38" s="71"/>
      <c r="D38" s="71"/>
      <c r="E38" s="71"/>
      <c r="F38" s="71"/>
      <c r="H38" s="89"/>
    </row>
    <row r="39" s="69" customFormat="1" customHeight="1" spans="1:8">
      <c r="B39" s="71"/>
      <c r="C39" s="71"/>
      <c r="D39" s="71"/>
      <c r="E39" s="71"/>
      <c r="F39" s="71"/>
      <c r="H39" s="89"/>
    </row>
    <row r="40" s="69" customFormat="1" customHeight="1" spans="1:8">
      <c r="B40" s="71"/>
      <c r="C40" s="71"/>
      <c r="D40" s="71"/>
      <c r="E40" s="71"/>
      <c r="F40" s="71"/>
      <c r="H40" s="89"/>
    </row>
    <row r="41" s="69" customFormat="1" customHeight="1" spans="1:8">
      <c r="B41" s="71"/>
      <c r="C41" s="71"/>
      <c r="D41" s="71"/>
      <c r="E41" s="71"/>
      <c r="F41" s="71"/>
      <c r="H41" s="89"/>
    </row>
    <row r="42" s="69" customFormat="1" customHeight="1" spans="1:8">
      <c r="A42" s="90"/>
      <c r="B42" s="90"/>
      <c r="C42" s="91"/>
      <c r="D42" s="91"/>
      <c r="E42" s="91"/>
      <c r="F42" s="91"/>
    </row>
    <row r="43" s="69" customFormat="1" customHeight="1" spans="1:8">
      <c r="A43" s="90"/>
      <c r="B43" s="90"/>
      <c r="C43" s="91"/>
      <c r="D43" s="91"/>
      <c r="E43" s="91"/>
      <c r="F43" s="91"/>
    </row>
    <row r="44" s="69" customFormat="1" customHeight="1" spans="1:8">
      <c r="A44" s="90"/>
      <c r="B44" s="90"/>
      <c r="C44" s="91"/>
      <c r="D44" s="91"/>
      <c r="E44" s="91"/>
      <c r="F44" s="91"/>
    </row>
    <row r="45" s="69" customFormat="1" customHeight="1" spans="1:8">
      <c r="A45" s="71"/>
      <c r="B45" s="71"/>
      <c r="C45" s="71"/>
      <c r="D45" s="71"/>
      <c r="E45" s="71"/>
      <c r="F45" s="71"/>
    </row>
    <row r="46" s="69" customFormat="1" customHeight="1" spans="1:8">
      <c r="B46" s="71"/>
      <c r="C46" s="71"/>
      <c r="D46" s="71"/>
      <c r="E46" s="71"/>
      <c r="F46" s="71"/>
    </row>
    <row r="47" s="69" customFormat="1" customHeight="1" spans="1:8">
      <c r="B47" s="71"/>
      <c r="C47" s="71"/>
      <c r="D47" s="71"/>
      <c r="E47" s="71"/>
      <c r="F47" s="71"/>
    </row>
    <row r="48" s="69" customFormat="1" customHeight="1" spans="1:8">
      <c r="B48" s="71"/>
      <c r="C48" s="71"/>
      <c r="D48" s="71"/>
      <c r="E48" s="71"/>
      <c r="F48" s="71"/>
    </row>
    <row r="49" s="69" customFormat="1" customHeight="1" spans="2:6">
      <c r="B49" s="71"/>
      <c r="C49" s="71"/>
      <c r="D49" s="71"/>
      <c r="E49" s="71"/>
      <c r="F49" s="71"/>
    </row>
    <row r="50" s="69" customFormat="1" customHeight="1" spans="2:6">
      <c r="B50" s="71"/>
      <c r="C50" s="71"/>
      <c r="D50" s="71"/>
      <c r="E50" s="71"/>
      <c r="F50" s="71"/>
    </row>
  </sheetData>
  <mergeCells count="3">
    <mergeCell ref="A1:D1"/>
    <mergeCell ref="A7:D7"/>
    <mergeCell ref="A13:D13"/>
  </mergeCells>
  <dataValidations count="5">
    <dataValidation type="list" allowBlank="1" showInputMessage="1" showErrorMessage="1" sqref="A15">
      <formula1>"纸"</formula1>
    </dataValidation>
    <dataValidation allowBlank="1" showInputMessage="1" showErrorMessage="1" promptTitle="例如：San ZHANG" prompt="张三的英文拼音格式" sqref="B15"/>
    <dataValidation type="list" allowBlank="1" showInputMessage="1" showErrorMessage="1" sqref="A3:A6">
      <formula1>"EEE-01 热交换设备 Temperature exchange equipment,EEE-02 屏幕设备 100m²  Screens,EEE-03 灯具 Lamps,EEE-04 大型设备 单边尺寸&gt;50 cm Large equipment,EEE-05 小型设备 单边尺寸&lt;50cm Small equipment,EEE-06 小型IT、通讯设备 Small IT and telecommunication equipment"</formula1>
    </dataValidation>
    <dataValidation type="list" allowBlank="1" showInputMessage="1" showErrorMessage="1" sqref="A9:A12">
      <formula1>"设备电池 Portable batteries,工业电池 1kg以内 Industrial batteries up to 1 kg,自行车电池 Bicycle batteries (EPAC)"</formula1>
    </dataValidation>
    <dataValidation allowBlank="1" showInputMessage="1" sqref="B42:F44"/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93"/>
  <sheetViews>
    <sheetView workbookViewId="0">
      <selection activeCell="A1" sqref="A1:B1"/>
    </sheetView>
  </sheetViews>
  <sheetFormatPr defaultColWidth="37.7777777777778" defaultRowHeight="15" customHeight="1" outlineLevelCol="1"/>
  <cols>
    <col min="1" max="1" width="62.2222222222222" style="65" customWidth="1"/>
    <col min="2" max="2" width="78.3333333333333" customWidth="1"/>
    <col min="3" max="16384" width="37.7777777777778" customWidth="1"/>
  </cols>
  <sheetData>
    <row r="1" ht="31" customHeight="1" spans="1:2">
      <c r="A1" s="66" t="s">
        <v>98</v>
      </c>
      <c r="B1" s="66"/>
    </row>
    <row r="2" customHeight="1" spans="1:2">
      <c r="A2" s="67" t="s">
        <v>99</v>
      </c>
      <c r="B2" s="68" t="s">
        <v>100</v>
      </c>
    </row>
    <row r="3" customHeight="1" spans="1:2">
      <c r="A3" s="67"/>
      <c r="B3" s="68" t="s">
        <v>101</v>
      </c>
    </row>
    <row r="4" customHeight="1" spans="1:2">
      <c r="A4" s="67"/>
      <c r="B4" s="68" t="s">
        <v>102</v>
      </c>
    </row>
    <row r="5" customHeight="1" spans="1:2">
      <c r="A5" s="67"/>
      <c r="B5" s="68" t="s">
        <v>103</v>
      </c>
    </row>
    <row r="6" customHeight="1" spans="1:2">
      <c r="A6" s="67" t="s">
        <v>104</v>
      </c>
      <c r="B6" s="68" t="s">
        <v>105</v>
      </c>
    </row>
    <row r="7" customHeight="1" spans="1:2">
      <c r="A7" s="67"/>
      <c r="B7" s="68" t="s">
        <v>106</v>
      </c>
    </row>
    <row r="8" customHeight="1" spans="1:2">
      <c r="A8" s="67"/>
      <c r="B8" s="68" t="s">
        <v>107</v>
      </c>
    </row>
    <row r="9" customHeight="1" spans="1:2">
      <c r="A9" s="67"/>
      <c r="B9" s="68" t="s">
        <v>108</v>
      </c>
    </row>
    <row r="10" customHeight="1" spans="1:2">
      <c r="A10" s="67"/>
      <c r="B10" s="68" t="s">
        <v>109</v>
      </c>
    </row>
    <row r="11" customHeight="1" spans="1:2">
      <c r="A11" s="67" t="s">
        <v>110</v>
      </c>
      <c r="B11" s="68" t="s">
        <v>111</v>
      </c>
    </row>
    <row r="12" customHeight="1" spans="1:2">
      <c r="A12" s="67"/>
      <c r="B12" s="68" t="s">
        <v>112</v>
      </c>
    </row>
    <row r="13" customHeight="1" spans="1:2">
      <c r="A13" s="67" t="s">
        <v>113</v>
      </c>
      <c r="B13" s="68" t="s">
        <v>114</v>
      </c>
    </row>
    <row r="14" customHeight="1" spans="1:2">
      <c r="A14" s="67"/>
      <c r="B14" s="68" t="s">
        <v>115</v>
      </c>
    </row>
    <row r="15" customHeight="1" spans="1:2">
      <c r="A15" s="67"/>
      <c r="B15" s="68" t="s">
        <v>116</v>
      </c>
    </row>
    <row r="16" customHeight="1" spans="1:2">
      <c r="A16" s="67"/>
      <c r="B16" s="68" t="s">
        <v>117</v>
      </c>
    </row>
    <row r="17" customHeight="1" spans="1:2">
      <c r="A17" s="67"/>
      <c r="B17" s="68" t="s">
        <v>118</v>
      </c>
    </row>
    <row r="18" customHeight="1" spans="1:2">
      <c r="A18" s="67"/>
      <c r="B18" s="68" t="s">
        <v>119</v>
      </c>
    </row>
    <row r="19" customHeight="1" spans="1:2">
      <c r="A19" s="67"/>
      <c r="B19" s="68" t="s">
        <v>120</v>
      </c>
    </row>
    <row r="20" customHeight="1" spans="1:2">
      <c r="A20" s="67"/>
      <c r="B20" s="68" t="s">
        <v>121</v>
      </c>
    </row>
    <row r="21" customHeight="1" spans="1:2">
      <c r="A21" s="67"/>
      <c r="B21" s="68" t="s">
        <v>122</v>
      </c>
    </row>
    <row r="22" customHeight="1" spans="1:2">
      <c r="A22" s="67"/>
      <c r="B22" s="68" t="s">
        <v>123</v>
      </c>
    </row>
    <row r="23" customHeight="1" spans="1:2">
      <c r="A23" s="67"/>
      <c r="B23" s="68" t="s">
        <v>124</v>
      </c>
    </row>
    <row r="24" customHeight="1" spans="1:2">
      <c r="A24" s="67"/>
      <c r="B24" s="68" t="s">
        <v>125</v>
      </c>
    </row>
    <row r="25" customHeight="1" spans="1:2">
      <c r="A25" s="67"/>
      <c r="B25" s="68" t="s">
        <v>126</v>
      </c>
    </row>
    <row r="26" customHeight="1" spans="1:2">
      <c r="A26" s="67"/>
      <c r="B26" s="68" t="s">
        <v>127</v>
      </c>
    </row>
    <row r="27" customHeight="1" spans="1:2">
      <c r="A27" s="67"/>
      <c r="B27" s="68" t="s">
        <v>128</v>
      </c>
    </row>
    <row r="28" customHeight="1" spans="1:2">
      <c r="A28" s="67"/>
      <c r="B28" s="68" t="s">
        <v>129</v>
      </c>
    </row>
    <row r="29" customHeight="1" spans="1:2">
      <c r="A29" s="67"/>
      <c r="B29" s="68" t="s">
        <v>130</v>
      </c>
    </row>
    <row r="30" customHeight="1" spans="1:2">
      <c r="A30" s="67"/>
      <c r="B30" s="68" t="s">
        <v>131</v>
      </c>
    </row>
    <row r="31" customHeight="1" spans="1:2">
      <c r="A31" s="67"/>
      <c r="B31" s="68" t="s">
        <v>132</v>
      </c>
    </row>
    <row r="32" customHeight="1" spans="1:2">
      <c r="A32" s="67"/>
      <c r="B32" s="68" t="s">
        <v>133</v>
      </c>
    </row>
    <row r="33" customHeight="1" spans="1:2">
      <c r="A33" s="67"/>
      <c r="B33" s="68" t="s">
        <v>134</v>
      </c>
    </row>
    <row r="34" customHeight="1" spans="1:2">
      <c r="A34" s="67"/>
      <c r="B34" s="68" t="s">
        <v>135</v>
      </c>
    </row>
    <row r="35" customHeight="1" spans="1:2">
      <c r="A35" s="67"/>
      <c r="B35" s="68" t="s">
        <v>136</v>
      </c>
    </row>
    <row r="36" customHeight="1" spans="1:2">
      <c r="A36" s="67"/>
      <c r="B36" s="68" t="s">
        <v>137</v>
      </c>
    </row>
    <row r="37" customHeight="1" spans="1:2">
      <c r="A37" s="67"/>
      <c r="B37" s="68" t="s">
        <v>138</v>
      </c>
    </row>
    <row r="38" customHeight="1" spans="1:2">
      <c r="A38" s="67"/>
      <c r="B38" s="68" t="s">
        <v>139</v>
      </c>
    </row>
    <row r="39" customHeight="1" spans="1:2">
      <c r="A39" s="67"/>
      <c r="B39" s="68" t="s">
        <v>140</v>
      </c>
    </row>
    <row r="40" customHeight="1" spans="1:2">
      <c r="A40" s="67"/>
      <c r="B40" s="68" t="s">
        <v>141</v>
      </c>
    </row>
    <row r="41" customHeight="1" spans="1:2">
      <c r="A41" s="67"/>
      <c r="B41" s="68" t="s">
        <v>142</v>
      </c>
    </row>
    <row r="42" customHeight="1" spans="1:2">
      <c r="A42" s="67"/>
      <c r="B42" s="68" t="s">
        <v>143</v>
      </c>
    </row>
    <row r="43" customHeight="1" spans="1:2">
      <c r="A43" s="67"/>
      <c r="B43" s="68" t="s">
        <v>144</v>
      </c>
    </row>
    <row r="44" customHeight="1" spans="1:2">
      <c r="A44" s="67"/>
      <c r="B44" s="68" t="s">
        <v>145</v>
      </c>
    </row>
    <row r="45" customHeight="1" spans="1:2">
      <c r="A45" s="67"/>
      <c r="B45" s="68" t="s">
        <v>146</v>
      </c>
    </row>
    <row r="46" customHeight="1" spans="1:2">
      <c r="A46" s="67"/>
      <c r="B46" s="68" t="s">
        <v>147</v>
      </c>
    </row>
    <row r="47" customHeight="1" spans="1:2">
      <c r="A47" s="67"/>
      <c r="B47" s="68" t="s">
        <v>148</v>
      </c>
    </row>
    <row r="48" customHeight="1" spans="1:2">
      <c r="A48" s="67"/>
      <c r="B48" s="68" t="s">
        <v>149</v>
      </c>
    </row>
    <row r="49" customHeight="1" spans="1:2">
      <c r="A49" s="67"/>
      <c r="B49" s="68" t="s">
        <v>150</v>
      </c>
    </row>
    <row r="50" customHeight="1" spans="1:2">
      <c r="A50" s="67"/>
      <c r="B50" s="68" t="s">
        <v>151</v>
      </c>
    </row>
    <row r="51" customHeight="1" spans="1:2">
      <c r="A51" s="67" t="s">
        <v>152</v>
      </c>
      <c r="B51" s="68" t="s">
        <v>153</v>
      </c>
    </row>
    <row r="52" customHeight="1" spans="1:2">
      <c r="A52" s="67"/>
      <c r="B52" s="68" t="s">
        <v>154</v>
      </c>
    </row>
    <row r="53" customHeight="1" spans="1:2">
      <c r="A53" s="67"/>
      <c r="B53" s="68" t="s">
        <v>155</v>
      </c>
    </row>
    <row r="54" customHeight="1" spans="1:2">
      <c r="A54" s="67"/>
      <c r="B54" s="68" t="s">
        <v>156</v>
      </c>
    </row>
    <row r="55" customHeight="1" spans="1:2">
      <c r="A55" s="67"/>
      <c r="B55" s="68" t="s">
        <v>157</v>
      </c>
    </row>
    <row r="56" customHeight="1" spans="1:2">
      <c r="A56" s="67"/>
      <c r="B56" s="68" t="s">
        <v>158</v>
      </c>
    </row>
    <row r="57" customHeight="1" spans="1:2">
      <c r="A57" s="67"/>
      <c r="B57" s="68" t="s">
        <v>159</v>
      </c>
    </row>
    <row r="58" customHeight="1" spans="1:2">
      <c r="A58" s="67"/>
      <c r="B58" s="68" t="s">
        <v>160</v>
      </c>
    </row>
    <row r="59" customHeight="1" spans="1:2">
      <c r="A59" s="67"/>
      <c r="B59" s="68" t="s">
        <v>161</v>
      </c>
    </row>
    <row r="60" customHeight="1" spans="1:2">
      <c r="A60" s="67"/>
      <c r="B60" s="68" t="s">
        <v>162</v>
      </c>
    </row>
    <row r="61" customHeight="1" spans="1:2">
      <c r="A61" s="67"/>
      <c r="B61" s="68" t="s">
        <v>163</v>
      </c>
    </row>
    <row r="62" customHeight="1" spans="1:2">
      <c r="A62" s="67"/>
      <c r="B62" s="68" t="s">
        <v>164</v>
      </c>
    </row>
    <row r="63" customHeight="1" spans="1:2">
      <c r="A63" s="67"/>
      <c r="B63" s="68" t="s">
        <v>165</v>
      </c>
    </row>
    <row r="64" customHeight="1" spans="1:2">
      <c r="A64" s="67"/>
      <c r="B64" s="68" t="s">
        <v>166</v>
      </c>
    </row>
    <row r="65" customHeight="1" spans="1:2">
      <c r="A65" s="67"/>
      <c r="B65" s="68" t="s">
        <v>167</v>
      </c>
    </row>
    <row r="66" customHeight="1" spans="1:2">
      <c r="A66" s="67"/>
      <c r="B66" s="68" t="s">
        <v>168</v>
      </c>
    </row>
    <row r="67" customHeight="1" spans="1:2">
      <c r="A67" s="67"/>
      <c r="B67" s="68" t="s">
        <v>169</v>
      </c>
    </row>
    <row r="68" customHeight="1" spans="1:2">
      <c r="A68" s="67"/>
      <c r="B68" s="68" t="s">
        <v>170</v>
      </c>
    </row>
    <row r="69" customHeight="1" spans="1:2">
      <c r="A69" s="67"/>
      <c r="B69" s="68" t="s">
        <v>171</v>
      </c>
    </row>
    <row r="70" customHeight="1" spans="1:2">
      <c r="A70" s="67"/>
      <c r="B70" s="68" t="s">
        <v>172</v>
      </c>
    </row>
    <row r="71" customHeight="1" spans="1:2">
      <c r="A71" s="67"/>
      <c r="B71" s="68" t="s">
        <v>173</v>
      </c>
    </row>
    <row r="72" customHeight="1" spans="1:2">
      <c r="A72" s="67"/>
      <c r="B72" s="68" t="s">
        <v>174</v>
      </c>
    </row>
    <row r="73" customHeight="1" spans="1:2">
      <c r="A73" s="67"/>
      <c r="B73" s="68" t="s">
        <v>175</v>
      </c>
    </row>
    <row r="74" customHeight="1" spans="1:2">
      <c r="A74" s="67"/>
      <c r="B74" s="68" t="s">
        <v>176</v>
      </c>
    </row>
    <row r="75" customHeight="1" spans="1:2">
      <c r="A75" s="67"/>
      <c r="B75" s="68" t="s">
        <v>177</v>
      </c>
    </row>
    <row r="76" customHeight="1" spans="1:2">
      <c r="A76" s="67"/>
      <c r="B76" s="68" t="s">
        <v>178</v>
      </c>
    </row>
    <row r="77" customHeight="1" spans="1:2">
      <c r="A77" s="67"/>
      <c r="B77" s="68" t="s">
        <v>179</v>
      </c>
    </row>
    <row r="78" customHeight="1" spans="1:2">
      <c r="A78" s="67"/>
      <c r="B78" s="68" t="s">
        <v>180</v>
      </c>
    </row>
    <row r="79" customHeight="1" spans="1:2">
      <c r="A79" s="67"/>
      <c r="B79" s="68" t="s">
        <v>181</v>
      </c>
    </row>
    <row r="80" customHeight="1" spans="1:2">
      <c r="A80" s="67"/>
      <c r="B80" s="68" t="s">
        <v>182</v>
      </c>
    </row>
    <row r="81" customHeight="1" spans="1:2">
      <c r="A81" s="67"/>
      <c r="B81" s="68" t="s">
        <v>183</v>
      </c>
    </row>
    <row r="82" customHeight="1" spans="1:2">
      <c r="A82" s="67"/>
      <c r="B82" s="68" t="s">
        <v>184</v>
      </c>
    </row>
    <row r="83" customHeight="1" spans="1:2">
      <c r="A83" s="67"/>
      <c r="B83" s="68" t="s">
        <v>185</v>
      </c>
    </row>
    <row r="84" customHeight="1" spans="1:2">
      <c r="A84" s="67"/>
      <c r="B84" s="68" t="s">
        <v>186</v>
      </c>
    </row>
    <row r="85" customHeight="1" spans="1:2">
      <c r="A85" s="67"/>
      <c r="B85" s="68" t="s">
        <v>187</v>
      </c>
    </row>
    <row r="86" customHeight="1" spans="1:2">
      <c r="A86" s="67"/>
      <c r="B86" s="68" t="s">
        <v>188</v>
      </c>
    </row>
    <row r="87" customHeight="1" spans="1:2">
      <c r="A87" s="67"/>
      <c r="B87" s="68" t="s">
        <v>189</v>
      </c>
    </row>
    <row r="88" customHeight="1" spans="1:2">
      <c r="A88" s="67"/>
      <c r="B88" s="68" t="s">
        <v>190</v>
      </c>
    </row>
    <row r="89" customHeight="1" spans="1:2">
      <c r="A89" s="67"/>
      <c r="B89" s="68" t="s">
        <v>191</v>
      </c>
    </row>
    <row r="90" customHeight="1" spans="1:2">
      <c r="A90" s="67" t="s">
        <v>192</v>
      </c>
      <c r="B90" s="68" t="s">
        <v>193</v>
      </c>
    </row>
    <row r="91" customHeight="1" spans="1:2">
      <c r="A91" s="67"/>
      <c r="B91" s="68" t="s">
        <v>194</v>
      </c>
    </row>
    <row r="92" customHeight="1" spans="1:2">
      <c r="A92" s="67"/>
      <c r="B92" s="68" t="s">
        <v>195</v>
      </c>
    </row>
    <row r="93" customHeight="1" spans="1:2">
      <c r="A93" s="67"/>
      <c r="B93" s="68" t="s">
        <v>196</v>
      </c>
    </row>
  </sheetData>
  <mergeCells count="7">
    <mergeCell ref="A1:B1"/>
    <mergeCell ref="A2:A5"/>
    <mergeCell ref="A6:A10"/>
    <mergeCell ref="A11:A12"/>
    <mergeCell ref="A13:A50"/>
    <mergeCell ref="A51:A89"/>
    <mergeCell ref="A90:A93"/>
  </mergeCells>
  <dataValidations count="1">
    <dataValidation allowBlank="1" showInputMessage="1" showErrorMessage="1" sqref="A2 A6 A11 A13 A51 A90"/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L48"/>
  <sheetViews>
    <sheetView zoomScale="65" zoomScaleNormal="65" workbookViewId="0">
      <selection activeCell="L2" sqref="L2:L26"/>
    </sheetView>
  </sheetViews>
  <sheetFormatPr defaultColWidth="33.1111111111111" defaultRowHeight="36" customHeight="1"/>
  <cols>
    <col min="2" max="2" width="71.1018518518518" customWidth="1"/>
    <col min="3" max="3" width="7.00925925925926" customWidth="1"/>
    <col min="4" max="4" width="37.3333333333333" customWidth="1"/>
    <col min="5" max="5" width="34.7777777777778" customWidth="1"/>
    <col min="6" max="6" width="34.2222222222222" customWidth="1"/>
    <col min="7" max="7" width="4.44444444444444" style="22" customWidth="1"/>
    <col min="8" max="8" width="22" customWidth="1"/>
    <col min="9" max="9" width="94" customWidth="1"/>
    <col min="10" max="10" width="4.10185185185185" customWidth="1"/>
    <col min="11" max="11" width="53.5648148148148" customWidth="1"/>
    <col min="12" max="12" width="121.527777777778" customWidth="1"/>
    <col min="13" max="16382" width="33.1111111111111" customWidth="1"/>
  </cols>
  <sheetData>
    <row r="1" customHeight="1" spans="1:12">
      <c r="A1" s="23" t="s">
        <v>197</v>
      </c>
      <c r="B1" s="24"/>
      <c r="D1" s="23" t="s">
        <v>198</v>
      </c>
      <c r="E1" s="24"/>
      <c r="F1" s="25"/>
      <c r="G1" s="26"/>
      <c r="H1" s="27" t="s">
        <v>199</v>
      </c>
      <c r="I1" s="28"/>
      <c r="K1" s="29" t="s">
        <v>200</v>
      </c>
      <c r="L1" s="29"/>
    </row>
    <row r="2" customHeight="1" spans="1:12">
      <c r="A2" s="30" t="s">
        <v>201</v>
      </c>
      <c r="B2" s="31" t="s">
        <v>202</v>
      </c>
      <c r="D2" s="32" t="s">
        <v>203</v>
      </c>
      <c r="E2" s="33" t="s">
        <v>204</v>
      </c>
      <c r="F2" s="34" t="s">
        <v>205</v>
      </c>
      <c r="G2" s="35"/>
      <c r="H2" s="36" t="s">
        <v>206</v>
      </c>
      <c r="I2" s="37" t="s">
        <v>207</v>
      </c>
      <c r="J2" s="38"/>
      <c r="K2" s="39" t="s">
        <v>208</v>
      </c>
      <c r="L2" s="40" t="s">
        <v>209</v>
      </c>
    </row>
    <row r="3" customHeight="1" spans="1:12">
      <c r="A3" s="30"/>
      <c r="B3" s="31" t="s">
        <v>210</v>
      </c>
      <c r="D3" s="41" t="s">
        <v>211</v>
      </c>
      <c r="E3" s="42" t="s">
        <v>212</v>
      </c>
      <c r="F3" s="43" t="s">
        <v>213</v>
      </c>
      <c r="G3" s="44"/>
      <c r="H3" s="36"/>
      <c r="I3" s="37" t="s">
        <v>214</v>
      </c>
      <c r="J3" s="38"/>
      <c r="K3" s="45" t="s">
        <v>215</v>
      </c>
      <c r="L3" s="46" t="s">
        <v>216</v>
      </c>
    </row>
    <row r="4" customHeight="1" spans="1:12">
      <c r="A4" s="30"/>
      <c r="B4" s="31" t="s">
        <v>217</v>
      </c>
      <c r="D4" s="41" t="s">
        <v>218</v>
      </c>
      <c r="E4" s="42" t="s">
        <v>219</v>
      </c>
      <c r="F4" s="47"/>
      <c r="G4" s="48"/>
      <c r="H4" s="36"/>
      <c r="I4" s="37" t="s">
        <v>220</v>
      </c>
      <c r="J4" s="38"/>
      <c r="K4" s="45" t="s">
        <v>221</v>
      </c>
      <c r="L4" s="46" t="s">
        <v>222</v>
      </c>
    </row>
    <row r="5" customHeight="1" spans="1:12">
      <c r="A5" s="30"/>
      <c r="B5" s="31" t="s">
        <v>223</v>
      </c>
      <c r="D5" s="41" t="s">
        <v>224</v>
      </c>
      <c r="E5" s="42" t="s">
        <v>225</v>
      </c>
      <c r="F5" s="47"/>
      <c r="G5" s="48"/>
      <c r="H5" s="36"/>
      <c r="I5" s="37" t="s">
        <v>226</v>
      </c>
      <c r="J5" s="38"/>
      <c r="K5" s="45" t="s">
        <v>227</v>
      </c>
      <c r="L5" s="46" t="s">
        <v>228</v>
      </c>
    </row>
    <row r="6" customHeight="1" spans="1:12">
      <c r="A6" s="30"/>
      <c r="B6" s="31" t="s">
        <v>229</v>
      </c>
      <c r="D6" s="49" t="s">
        <v>230</v>
      </c>
      <c r="E6" s="50" t="s">
        <v>231</v>
      </c>
      <c r="F6" s="47"/>
      <c r="G6" s="48"/>
      <c r="H6" s="51" t="s">
        <v>232</v>
      </c>
      <c r="I6" s="52" t="s">
        <v>233</v>
      </c>
      <c r="J6" s="38"/>
      <c r="K6" s="53" t="s">
        <v>234</v>
      </c>
      <c r="L6" s="46" t="s">
        <v>235</v>
      </c>
    </row>
    <row r="7" customHeight="1" spans="1:12">
      <c r="A7" s="30"/>
      <c r="B7" s="31" t="s">
        <v>236</v>
      </c>
      <c r="D7" s="49" t="s">
        <v>237</v>
      </c>
      <c r="E7" s="50" t="s">
        <v>238</v>
      </c>
      <c r="F7" s="47"/>
      <c r="G7" s="48"/>
      <c r="H7" s="51"/>
      <c r="I7" s="52" t="s">
        <v>239</v>
      </c>
      <c r="J7" s="38"/>
      <c r="K7" s="38"/>
      <c r="L7" s="46" t="s">
        <v>240</v>
      </c>
    </row>
    <row r="8" customHeight="1" spans="1:12">
      <c r="A8" s="30"/>
      <c r="B8" s="31" t="s">
        <v>241</v>
      </c>
      <c r="D8" s="41" t="s">
        <v>242</v>
      </c>
      <c r="E8" s="42" t="s">
        <v>243</v>
      </c>
      <c r="F8" s="43" t="s">
        <v>244</v>
      </c>
      <c r="G8" s="44"/>
      <c r="H8" s="51"/>
      <c r="I8" s="52" t="s">
        <v>245</v>
      </c>
      <c r="J8" s="38"/>
      <c r="K8" s="38"/>
      <c r="L8" s="46" t="s">
        <v>246</v>
      </c>
    </row>
    <row r="9" customHeight="1" spans="1:12">
      <c r="A9" s="30"/>
      <c r="B9" s="31" t="s">
        <v>247</v>
      </c>
      <c r="D9" s="41" t="s">
        <v>248</v>
      </c>
      <c r="E9" s="42" t="s">
        <v>249</v>
      </c>
      <c r="F9" s="47"/>
      <c r="G9" s="48"/>
      <c r="H9" s="51"/>
      <c r="I9" s="52" t="s">
        <v>250</v>
      </c>
      <c r="J9" s="38"/>
      <c r="K9" s="38"/>
      <c r="L9" s="46" t="s">
        <v>251</v>
      </c>
    </row>
    <row r="10" customHeight="1" spans="1:12">
      <c r="A10" s="30"/>
      <c r="B10" s="31" t="s">
        <v>252</v>
      </c>
      <c r="D10" s="49" t="s">
        <v>253</v>
      </c>
      <c r="E10" s="50" t="s">
        <v>254</v>
      </c>
      <c r="F10" s="47"/>
      <c r="G10" s="48"/>
      <c r="H10" s="51"/>
      <c r="I10" s="52" t="s">
        <v>255</v>
      </c>
      <c r="J10" s="38"/>
      <c r="K10" s="38"/>
      <c r="L10" s="46" t="s">
        <v>256</v>
      </c>
    </row>
    <row r="11" customHeight="1" spans="1:12">
      <c r="A11" s="30"/>
      <c r="B11" s="31" t="s">
        <v>257</v>
      </c>
      <c r="D11" s="49" t="s">
        <v>258</v>
      </c>
      <c r="E11" s="50" t="s">
        <v>259</v>
      </c>
      <c r="F11" s="47"/>
      <c r="G11" s="48"/>
      <c r="H11" s="54" t="s">
        <v>260</v>
      </c>
      <c r="I11" s="55" t="s">
        <v>261</v>
      </c>
      <c r="J11" s="38"/>
      <c r="K11" s="38"/>
      <c r="L11" s="46" t="s">
        <v>262</v>
      </c>
    </row>
    <row r="12" customHeight="1" spans="1:12">
      <c r="A12" s="30"/>
      <c r="B12" s="31" t="s">
        <v>263</v>
      </c>
      <c r="D12" s="56" t="s">
        <v>264</v>
      </c>
      <c r="E12" s="57" t="s">
        <v>265</v>
      </c>
      <c r="F12" s="43" t="s">
        <v>213</v>
      </c>
      <c r="G12" s="44"/>
      <c r="H12" s="54"/>
      <c r="I12" s="55" t="s">
        <v>266</v>
      </c>
      <c r="J12" s="38"/>
      <c r="K12" s="38"/>
      <c r="L12" s="46" t="s">
        <v>267</v>
      </c>
    </row>
    <row r="13" customHeight="1" spans="1:12">
      <c r="A13" s="30" t="s">
        <v>268</v>
      </c>
      <c r="B13" s="31" t="s">
        <v>269</v>
      </c>
      <c r="D13" s="56" t="s">
        <v>270</v>
      </c>
      <c r="E13" s="57" t="s">
        <v>271</v>
      </c>
      <c r="F13" s="47"/>
      <c r="G13" s="48"/>
      <c r="H13" s="54"/>
      <c r="I13" s="55" t="s">
        <v>272</v>
      </c>
      <c r="J13" s="38"/>
      <c r="K13" s="38"/>
      <c r="L13" s="46" t="s">
        <v>273</v>
      </c>
    </row>
    <row r="14" customHeight="1" spans="1:12">
      <c r="A14" s="30"/>
      <c r="B14" s="31" t="s">
        <v>274</v>
      </c>
      <c r="D14" s="56" t="s">
        <v>275</v>
      </c>
      <c r="E14" s="57" t="s">
        <v>276</v>
      </c>
      <c r="F14" s="43" t="s">
        <v>277</v>
      </c>
      <c r="G14" s="44"/>
      <c r="H14" s="58"/>
      <c r="I14" s="59" t="s">
        <v>278</v>
      </c>
      <c r="J14" s="38"/>
      <c r="K14" s="38"/>
      <c r="L14" s="46" t="s">
        <v>279</v>
      </c>
    </row>
    <row r="15" customHeight="1" spans="1:12">
      <c r="A15" s="30"/>
      <c r="B15" s="31" t="s">
        <v>280</v>
      </c>
      <c r="D15" s="41" t="s">
        <v>281</v>
      </c>
      <c r="E15" s="42" t="s">
        <v>282</v>
      </c>
      <c r="F15" s="47"/>
      <c r="G15" s="48"/>
      <c r="J15" s="38"/>
      <c r="K15" s="38"/>
      <c r="L15" s="46" t="s">
        <v>283</v>
      </c>
    </row>
    <row r="16" customHeight="1" spans="1:12">
      <c r="A16" s="30" t="s">
        <v>284</v>
      </c>
      <c r="B16" s="31" t="s">
        <v>285</v>
      </c>
      <c r="D16" s="41" t="s">
        <v>286</v>
      </c>
      <c r="E16" s="42" t="s">
        <v>287</v>
      </c>
      <c r="F16" s="47"/>
      <c r="G16" s="48"/>
      <c r="J16" s="38"/>
      <c r="K16" s="38"/>
      <c r="L16" s="46" t="s">
        <v>288</v>
      </c>
    </row>
    <row r="17" customHeight="1" spans="1:12">
      <c r="A17" s="30"/>
      <c r="B17" s="31" t="s">
        <v>289</v>
      </c>
      <c r="D17" s="41" t="s">
        <v>290</v>
      </c>
      <c r="E17" s="42" t="s">
        <v>291</v>
      </c>
      <c r="F17" s="47"/>
      <c r="G17" s="48"/>
      <c r="J17" s="38"/>
      <c r="K17" s="38"/>
      <c r="L17" s="46" t="s">
        <v>292</v>
      </c>
    </row>
    <row r="18" customHeight="1" spans="1:12">
      <c r="A18" s="30"/>
      <c r="B18" s="31" t="s">
        <v>293</v>
      </c>
      <c r="D18" s="56" t="s">
        <v>294</v>
      </c>
      <c r="E18" s="57" t="s">
        <v>295</v>
      </c>
      <c r="F18" s="47"/>
      <c r="G18" s="48"/>
      <c r="K18" s="38"/>
      <c r="L18" s="46" t="s">
        <v>296</v>
      </c>
    </row>
    <row r="19" customHeight="1" spans="1:12">
      <c r="D19" s="41" t="s">
        <v>297</v>
      </c>
      <c r="E19" s="42" t="s">
        <v>298</v>
      </c>
      <c r="F19" s="60" t="s">
        <v>299</v>
      </c>
      <c r="G19" s="44"/>
      <c r="K19" s="38"/>
      <c r="L19" s="46" t="s">
        <v>300</v>
      </c>
    </row>
    <row r="20" customHeight="1" spans="1:12">
      <c r="D20" s="41" t="s">
        <v>301</v>
      </c>
      <c r="E20" s="42" t="s">
        <v>302</v>
      </c>
      <c r="F20" s="47"/>
      <c r="G20" s="48"/>
      <c r="K20" s="38"/>
      <c r="L20" s="46" t="s">
        <v>303</v>
      </c>
    </row>
    <row r="21" customHeight="1" spans="1:12">
      <c r="D21" s="41" t="s">
        <v>304</v>
      </c>
      <c r="E21" s="42" t="s">
        <v>305</v>
      </c>
      <c r="F21" s="47"/>
      <c r="G21" s="48"/>
      <c r="K21" s="38"/>
      <c r="L21" s="46" t="s">
        <v>306</v>
      </c>
    </row>
    <row r="22" customHeight="1" spans="1:12">
      <c r="D22" s="41" t="s">
        <v>307</v>
      </c>
      <c r="E22" s="42" t="s">
        <v>308</v>
      </c>
      <c r="F22" s="47"/>
      <c r="G22" s="48"/>
      <c r="K22" s="38"/>
      <c r="L22" s="46" t="s">
        <v>309</v>
      </c>
    </row>
    <row r="23" customHeight="1" spans="1:12">
      <c r="D23" s="41" t="s">
        <v>310</v>
      </c>
      <c r="E23" s="42" t="s">
        <v>311</v>
      </c>
      <c r="F23" s="47"/>
      <c r="G23" s="48"/>
      <c r="K23" s="38"/>
      <c r="L23" s="46" t="s">
        <v>312</v>
      </c>
    </row>
    <row r="24" customHeight="1" spans="1:12">
      <c r="D24" s="41" t="s">
        <v>313</v>
      </c>
      <c r="E24" s="42" t="s">
        <v>314</v>
      </c>
      <c r="F24" s="47"/>
      <c r="G24" s="48"/>
      <c r="K24" s="38"/>
      <c r="L24" s="46" t="s">
        <v>315</v>
      </c>
    </row>
    <row r="25" customHeight="1" spans="1:12">
      <c r="D25" s="41" t="s">
        <v>316</v>
      </c>
      <c r="E25" s="42" t="s">
        <v>317</v>
      </c>
      <c r="F25" s="47"/>
      <c r="G25" s="48"/>
      <c r="K25" s="38"/>
      <c r="L25" s="46" t="s">
        <v>318</v>
      </c>
    </row>
    <row r="26" customHeight="1" spans="1:12">
      <c r="D26" s="41" t="s">
        <v>319</v>
      </c>
      <c r="E26" s="42" t="s">
        <v>320</v>
      </c>
      <c r="F26" s="47"/>
      <c r="G26" s="48"/>
      <c r="K26" s="38"/>
      <c r="L26" s="61" t="s">
        <v>321</v>
      </c>
    </row>
    <row r="27" customHeight="1" spans="1:12">
      <c r="D27" s="41" t="s">
        <v>322</v>
      </c>
      <c r="E27" s="42" t="s">
        <v>323</v>
      </c>
      <c r="F27" s="47"/>
      <c r="G27" s="48"/>
      <c r="K27" s="38"/>
    </row>
    <row r="28" customHeight="1" spans="1:12">
      <c r="D28" s="41" t="s">
        <v>324</v>
      </c>
      <c r="E28" s="42" t="s">
        <v>325</v>
      </c>
      <c r="F28" s="47"/>
      <c r="G28" s="48"/>
      <c r="K28" s="38"/>
    </row>
    <row r="29" customHeight="1" spans="1:12">
      <c r="D29" s="41" t="s">
        <v>326</v>
      </c>
      <c r="E29" s="42" t="s">
        <v>327</v>
      </c>
      <c r="F29" s="47"/>
      <c r="G29" s="48"/>
      <c r="K29" s="38"/>
    </row>
    <row r="30" customHeight="1" spans="1:12">
      <c r="D30" s="41" t="s">
        <v>328</v>
      </c>
      <c r="E30" s="42" t="s">
        <v>329</v>
      </c>
      <c r="F30" s="47"/>
      <c r="G30" s="48"/>
      <c r="K30" s="38"/>
    </row>
    <row r="31" customHeight="1" spans="1:12">
      <c r="D31" s="41" t="s">
        <v>330</v>
      </c>
      <c r="E31" s="42" t="s">
        <v>331</v>
      </c>
      <c r="F31" s="60" t="s">
        <v>332</v>
      </c>
      <c r="G31" s="44"/>
      <c r="K31" s="38"/>
    </row>
    <row r="32" customHeight="1" spans="1:12">
      <c r="D32" s="41" t="s">
        <v>333</v>
      </c>
      <c r="E32" s="42" t="s">
        <v>334</v>
      </c>
      <c r="F32" s="47"/>
      <c r="G32" s="48"/>
    </row>
    <row r="33" customHeight="1" spans="4:7">
      <c r="D33" s="41" t="s">
        <v>335</v>
      </c>
      <c r="E33" s="42" t="s">
        <v>336</v>
      </c>
      <c r="F33" s="47"/>
      <c r="G33" s="48"/>
    </row>
    <row r="34" customHeight="1" spans="4:7">
      <c r="D34" s="49" t="s">
        <v>337</v>
      </c>
      <c r="E34" s="50" t="s">
        <v>338</v>
      </c>
      <c r="F34" s="60" t="s">
        <v>339</v>
      </c>
      <c r="G34" s="44"/>
    </row>
    <row r="35" customHeight="1" spans="4:7">
      <c r="D35" s="41" t="s">
        <v>340</v>
      </c>
      <c r="E35" s="42" t="s">
        <v>341</v>
      </c>
      <c r="F35" s="47"/>
      <c r="G35" s="48"/>
    </row>
    <row r="36" customHeight="1" spans="4:7">
      <c r="D36" s="41" t="s">
        <v>342</v>
      </c>
      <c r="E36" s="42" t="s">
        <v>343</v>
      </c>
      <c r="F36" s="47"/>
      <c r="G36" s="48"/>
    </row>
    <row r="37" customHeight="1" spans="4:7">
      <c r="D37" s="41" t="s">
        <v>344</v>
      </c>
      <c r="E37" s="42" t="s">
        <v>345</v>
      </c>
      <c r="F37" s="47"/>
      <c r="G37" s="48"/>
    </row>
    <row r="38" customHeight="1" spans="4:7">
      <c r="D38" s="41" t="s">
        <v>346</v>
      </c>
      <c r="E38" s="42" t="s">
        <v>347</v>
      </c>
      <c r="F38" s="47"/>
      <c r="G38" s="48"/>
    </row>
    <row r="39" customHeight="1" spans="4:7">
      <c r="D39" s="41" t="s">
        <v>348</v>
      </c>
      <c r="E39" s="42" t="s">
        <v>349</v>
      </c>
      <c r="F39" s="47"/>
      <c r="G39" s="48"/>
    </row>
    <row r="40" customHeight="1" spans="4:7">
      <c r="D40" s="41" t="s">
        <v>350</v>
      </c>
      <c r="E40" s="42" t="s">
        <v>351</v>
      </c>
      <c r="F40" s="47"/>
      <c r="G40" s="48"/>
    </row>
    <row r="41" customHeight="1" spans="4:7">
      <c r="D41" s="41" t="s">
        <v>352</v>
      </c>
      <c r="E41" s="42" t="s">
        <v>353</v>
      </c>
      <c r="F41" s="47"/>
      <c r="G41" s="48"/>
    </row>
    <row r="42" customHeight="1" spans="4:7">
      <c r="D42" s="41" t="s">
        <v>354</v>
      </c>
      <c r="E42" s="42" t="s">
        <v>355</v>
      </c>
      <c r="F42" s="47"/>
      <c r="G42" s="48"/>
    </row>
    <row r="43" customHeight="1" spans="4:7">
      <c r="D43" s="41" t="s">
        <v>356</v>
      </c>
      <c r="E43" s="42" t="s">
        <v>357</v>
      </c>
      <c r="F43" s="47"/>
      <c r="G43" s="48"/>
    </row>
    <row r="44" customHeight="1" spans="4:7">
      <c r="D44" s="41" t="s">
        <v>358</v>
      </c>
      <c r="E44" s="42" t="s">
        <v>359</v>
      </c>
      <c r="F44" s="60" t="s">
        <v>339</v>
      </c>
      <c r="G44" s="44"/>
    </row>
    <row r="45" customHeight="1" spans="4:7">
      <c r="D45" s="41" t="s">
        <v>360</v>
      </c>
      <c r="E45" s="42" t="s">
        <v>361</v>
      </c>
      <c r="F45" s="47"/>
      <c r="G45" s="48"/>
    </row>
    <row r="46" customHeight="1" spans="4:7">
      <c r="D46" s="41" t="s">
        <v>362</v>
      </c>
      <c r="E46" s="42" t="s">
        <v>363</v>
      </c>
      <c r="F46" s="47"/>
      <c r="G46" s="48"/>
    </row>
    <row r="47" customHeight="1" spans="4:7">
      <c r="D47" s="41" t="s">
        <v>364</v>
      </c>
      <c r="E47" s="42" t="s">
        <v>365</v>
      </c>
      <c r="F47" s="47"/>
      <c r="G47" s="48"/>
    </row>
    <row r="48" customHeight="1" spans="4:7">
      <c r="D48" s="62" t="s">
        <v>366</v>
      </c>
      <c r="E48" s="63" t="s">
        <v>367</v>
      </c>
      <c r="F48" s="64"/>
      <c r="G48" s="48"/>
    </row>
  </sheetData>
  <mergeCells count="18">
    <mergeCell ref="A1:B1"/>
    <mergeCell ref="D1:F1"/>
    <mergeCell ref="H1:I1"/>
    <mergeCell ref="K1:L1"/>
    <mergeCell ref="A2:A12"/>
    <mergeCell ref="A13:A15"/>
    <mergeCell ref="A16:A18"/>
    <mergeCell ref="F3:F7"/>
    <mergeCell ref="F8:F11"/>
    <mergeCell ref="F12:F13"/>
    <mergeCell ref="F14:F18"/>
    <mergeCell ref="F19:F30"/>
    <mergeCell ref="F31:F33"/>
    <mergeCell ref="F34:F43"/>
    <mergeCell ref="F44:F48"/>
    <mergeCell ref="H2:H5"/>
    <mergeCell ref="H6:H10"/>
    <mergeCell ref="H11:H1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70"/>
  <sheetViews>
    <sheetView workbookViewId="0">
      <selection activeCell="A44" sqref="A44"/>
    </sheetView>
  </sheetViews>
  <sheetFormatPr defaultColWidth="8.88888888888889" defaultRowHeight="16" customHeight="1" outlineLevelCol="2"/>
  <cols>
    <col min="1" max="1" width="100.111111111111" customWidth="1"/>
    <col min="2" max="3" width="59.5555555555556" customWidth="1"/>
  </cols>
  <sheetData>
    <row r="1" ht="27" customHeight="1" spans="1:3">
      <c r="A1" s="1" t="s">
        <v>368</v>
      </c>
      <c r="B1" s="2"/>
      <c r="C1" s="3"/>
    </row>
    <row r="2" customHeight="1" spans="1:3">
      <c r="A2" s="4" t="s">
        <v>369</v>
      </c>
      <c r="B2" s="5" t="s">
        <v>370</v>
      </c>
      <c r="C2" s="6" t="s">
        <v>371</v>
      </c>
    </row>
    <row r="3" customHeight="1" spans="1:3">
      <c r="A3" s="7" t="s">
        <v>372</v>
      </c>
      <c r="B3" s="8"/>
      <c r="C3" s="9"/>
    </row>
    <row r="4" customHeight="1" spans="1:3">
      <c r="A4" s="10" t="s">
        <v>373</v>
      </c>
      <c r="B4" s="11" t="s">
        <v>374</v>
      </c>
      <c r="C4" s="12" t="s">
        <v>375</v>
      </c>
    </row>
    <row r="5" customHeight="1" spans="1:3">
      <c r="A5" s="10" t="s">
        <v>376</v>
      </c>
      <c r="B5" s="8" t="s">
        <v>377</v>
      </c>
      <c r="C5" s="9" t="s">
        <v>378</v>
      </c>
    </row>
    <row r="6" customHeight="1" spans="1:3">
      <c r="A6" s="10" t="s">
        <v>379</v>
      </c>
      <c r="B6" s="11" t="s">
        <v>380</v>
      </c>
      <c r="C6" s="9" t="s">
        <v>381</v>
      </c>
    </row>
    <row r="7" customHeight="1" spans="1:3">
      <c r="A7" s="10" t="s">
        <v>382</v>
      </c>
      <c r="B7" s="11" t="s">
        <v>383</v>
      </c>
      <c r="C7" s="9" t="s">
        <v>384</v>
      </c>
    </row>
    <row r="8" customHeight="1" spans="1:3">
      <c r="A8" s="10" t="s">
        <v>385</v>
      </c>
      <c r="B8" s="11" t="s">
        <v>386</v>
      </c>
      <c r="C8" s="9" t="s">
        <v>387</v>
      </c>
    </row>
    <row r="9" customHeight="1" spans="1:3">
      <c r="A9" s="10" t="s">
        <v>388</v>
      </c>
      <c r="B9" s="11" t="s">
        <v>389</v>
      </c>
      <c r="C9" s="9" t="s">
        <v>390</v>
      </c>
    </row>
    <row r="10" customHeight="1" spans="1:3">
      <c r="A10" s="10" t="s">
        <v>391</v>
      </c>
      <c r="B10" s="11" t="s">
        <v>392</v>
      </c>
      <c r="C10" s="9" t="s">
        <v>393</v>
      </c>
    </row>
    <row r="11" customHeight="1" spans="1:3">
      <c r="A11" s="10" t="s">
        <v>394</v>
      </c>
      <c r="B11" s="11" t="s">
        <v>395</v>
      </c>
      <c r="C11" s="9" t="s">
        <v>396</v>
      </c>
    </row>
    <row r="12" customHeight="1" spans="1:3">
      <c r="A12" s="10" t="s">
        <v>397</v>
      </c>
      <c r="B12" s="11" t="s">
        <v>398</v>
      </c>
      <c r="C12" s="12" t="s">
        <v>399</v>
      </c>
    </row>
    <row r="13" customHeight="1" spans="1:3">
      <c r="A13" s="10" t="s">
        <v>400</v>
      </c>
      <c r="B13" s="11" t="s">
        <v>401</v>
      </c>
      <c r="C13" s="12" t="s">
        <v>402</v>
      </c>
    </row>
    <row r="14" customHeight="1" spans="1:3">
      <c r="A14" s="10" t="s">
        <v>403</v>
      </c>
      <c r="B14" s="11" t="s">
        <v>404</v>
      </c>
      <c r="C14" s="9" t="s">
        <v>405</v>
      </c>
    </row>
    <row r="15" customHeight="1" spans="1:3">
      <c r="A15" s="10" t="s">
        <v>406</v>
      </c>
      <c r="B15" s="11" t="s">
        <v>407</v>
      </c>
      <c r="C15" s="9" t="s">
        <v>408</v>
      </c>
    </row>
    <row r="16" customHeight="1" spans="1:3">
      <c r="A16" s="10" t="s">
        <v>409</v>
      </c>
      <c r="B16" s="11" t="s">
        <v>410</v>
      </c>
      <c r="C16" s="9" t="s">
        <v>411</v>
      </c>
    </row>
    <row r="17" customHeight="1" spans="1:3">
      <c r="A17" s="10" t="s">
        <v>412</v>
      </c>
      <c r="B17" s="11"/>
      <c r="C17" s="9"/>
    </row>
    <row r="18" customHeight="1" spans="1:3">
      <c r="A18" s="7" t="s">
        <v>413</v>
      </c>
      <c r="B18" s="8"/>
      <c r="C18" s="9"/>
    </row>
    <row r="19" customHeight="1" spans="1:3">
      <c r="A19" s="10" t="s">
        <v>414</v>
      </c>
      <c r="B19" s="11" t="s">
        <v>415</v>
      </c>
      <c r="C19" s="12" t="s">
        <v>416</v>
      </c>
    </row>
    <row r="20" customHeight="1" spans="1:3">
      <c r="A20" s="10" t="s">
        <v>417</v>
      </c>
      <c r="B20" s="11" t="s">
        <v>418</v>
      </c>
      <c r="C20" s="9" t="s">
        <v>381</v>
      </c>
    </row>
    <row r="21" customHeight="1" spans="1:3">
      <c r="A21" s="10" t="s">
        <v>419</v>
      </c>
      <c r="B21" s="11" t="s">
        <v>383</v>
      </c>
      <c r="C21" s="9" t="s">
        <v>384</v>
      </c>
    </row>
    <row r="22" customHeight="1" spans="1:3">
      <c r="A22" s="10" t="s">
        <v>420</v>
      </c>
      <c r="B22" s="11" t="s">
        <v>386</v>
      </c>
      <c r="C22" s="9" t="s">
        <v>387</v>
      </c>
    </row>
    <row r="23" customHeight="1" spans="1:3">
      <c r="A23" s="10" t="s">
        <v>421</v>
      </c>
      <c r="B23" s="11" t="s">
        <v>389</v>
      </c>
      <c r="C23" s="9" t="s">
        <v>390</v>
      </c>
    </row>
    <row r="24" customHeight="1" spans="1:3">
      <c r="A24" s="10" t="s">
        <v>422</v>
      </c>
      <c r="B24" s="11" t="s">
        <v>392</v>
      </c>
      <c r="C24" s="9" t="s">
        <v>393</v>
      </c>
    </row>
    <row r="25" customHeight="1" spans="1:3">
      <c r="A25" s="10" t="s">
        <v>423</v>
      </c>
      <c r="B25" s="11" t="s">
        <v>395</v>
      </c>
      <c r="C25" s="9" t="s">
        <v>396</v>
      </c>
    </row>
    <row r="26" customHeight="1" spans="1:3">
      <c r="A26" s="10" t="s">
        <v>424</v>
      </c>
      <c r="B26" s="11" t="s">
        <v>398</v>
      </c>
      <c r="C26" s="12" t="s">
        <v>399</v>
      </c>
    </row>
    <row r="27" customHeight="1" spans="1:3">
      <c r="A27" s="10" t="s">
        <v>425</v>
      </c>
      <c r="B27" s="11" t="s">
        <v>426</v>
      </c>
      <c r="C27" s="12" t="s">
        <v>402</v>
      </c>
    </row>
    <row r="28" customHeight="1" spans="1:3">
      <c r="A28" s="10" t="s">
        <v>427</v>
      </c>
      <c r="B28" s="11" t="s">
        <v>404</v>
      </c>
      <c r="C28" s="9" t="s">
        <v>405</v>
      </c>
    </row>
    <row r="29" customHeight="1" spans="1:3">
      <c r="A29" s="10" t="s">
        <v>428</v>
      </c>
      <c r="B29" s="11" t="s">
        <v>407</v>
      </c>
      <c r="C29" s="9" t="s">
        <v>408</v>
      </c>
    </row>
    <row r="30" customHeight="1" spans="1:3">
      <c r="A30" s="10" t="s">
        <v>429</v>
      </c>
      <c r="B30" s="11" t="s">
        <v>410</v>
      </c>
      <c r="C30" s="9" t="s">
        <v>411</v>
      </c>
    </row>
    <row r="31" customHeight="1" spans="1:3">
      <c r="A31" s="13" t="s">
        <v>430</v>
      </c>
      <c r="B31" s="14"/>
      <c r="C31" s="15"/>
    </row>
    <row r="33" customHeight="1" spans="1:1">
      <c r="A33" s="16" t="s">
        <v>431</v>
      </c>
    </row>
    <row r="34" customHeight="1" spans="1:1">
      <c r="A34" s="17" t="s">
        <v>432</v>
      </c>
    </row>
    <row r="35" customHeight="1" spans="1:1">
      <c r="A35" s="17" t="s">
        <v>433</v>
      </c>
    </row>
    <row r="36" customHeight="1" spans="1:1">
      <c r="A36" s="17" t="s">
        <v>434</v>
      </c>
    </row>
    <row r="37" customHeight="1" spans="1:1">
      <c r="A37" s="17" t="s">
        <v>435</v>
      </c>
    </row>
    <row r="38" customHeight="1" spans="1:1">
      <c r="A38" s="17" t="s">
        <v>436</v>
      </c>
    </row>
    <row r="39" customHeight="1" spans="1:1">
      <c r="A39" s="17" t="s">
        <v>437</v>
      </c>
    </row>
    <row r="40" customHeight="1" spans="1:1">
      <c r="A40" s="17" t="s">
        <v>438</v>
      </c>
    </row>
    <row r="41" customHeight="1" spans="1:1">
      <c r="A41" s="17" t="s">
        <v>439</v>
      </c>
    </row>
    <row r="42" customHeight="1" spans="1:1">
      <c r="A42" s="18" t="s">
        <v>440</v>
      </c>
    </row>
    <row r="44" customHeight="1" spans="1:1">
      <c r="A44" s="19" t="s">
        <v>441</v>
      </c>
    </row>
    <row r="45" customHeight="1" spans="1:1">
      <c r="A45" s="20" t="s">
        <v>442</v>
      </c>
    </row>
    <row r="46" customHeight="1" spans="1:1">
      <c r="A46" s="21" t="s">
        <v>443</v>
      </c>
    </row>
    <row r="47" customHeight="1" spans="1:1">
      <c r="A47" s="21" t="s">
        <v>444</v>
      </c>
    </row>
    <row r="48" customHeight="1" spans="1:1">
      <c r="A48" s="21" t="s">
        <v>445</v>
      </c>
    </row>
    <row r="49" customHeight="1" spans="1:1">
      <c r="A49" s="21" t="s">
        <v>446</v>
      </c>
    </row>
    <row r="50" customHeight="1" spans="1:1">
      <c r="A50" s="20" t="s">
        <v>447</v>
      </c>
    </row>
    <row r="51" customHeight="1" spans="1:1">
      <c r="A51" s="21" t="s">
        <v>448</v>
      </c>
    </row>
    <row r="52" customHeight="1" spans="1:1">
      <c r="A52" s="21" t="s">
        <v>449</v>
      </c>
    </row>
    <row r="53" customHeight="1" spans="1:1">
      <c r="A53" s="21" t="s">
        <v>450</v>
      </c>
    </row>
    <row r="54" customHeight="1" spans="1:1">
      <c r="A54" s="21" t="s">
        <v>451</v>
      </c>
    </row>
    <row r="55" customHeight="1" spans="1:1">
      <c r="A55" s="21" t="s">
        <v>452</v>
      </c>
    </row>
    <row r="56" customHeight="1" spans="1:1">
      <c r="A56" s="20" t="s">
        <v>453</v>
      </c>
    </row>
    <row r="57" customHeight="1" spans="1:1">
      <c r="A57" s="21" t="s">
        <v>454</v>
      </c>
    </row>
    <row r="58" customHeight="1" spans="1:1">
      <c r="A58" s="21" t="s">
        <v>455</v>
      </c>
    </row>
    <row r="59" customHeight="1" spans="1:1">
      <c r="A59" s="21" t="s">
        <v>456</v>
      </c>
    </row>
    <row r="60" customHeight="1" spans="1:1">
      <c r="A60" s="21" t="s">
        <v>457</v>
      </c>
    </row>
    <row r="61" customHeight="1" spans="1:1">
      <c r="A61" s="21" t="s">
        <v>458</v>
      </c>
    </row>
    <row r="62" customHeight="1" spans="1:1">
      <c r="A62" s="20" t="s">
        <v>459</v>
      </c>
    </row>
    <row r="63" customHeight="1" spans="1:1">
      <c r="A63" s="21" t="s">
        <v>460</v>
      </c>
    </row>
    <row r="64" customHeight="1" spans="1:1">
      <c r="A64" s="21" t="s">
        <v>461</v>
      </c>
    </row>
    <row r="65" customHeight="1" spans="1:1">
      <c r="A65" s="21" t="s">
        <v>462</v>
      </c>
    </row>
    <row r="66" customHeight="1" spans="1:1">
      <c r="A66" s="20" t="s">
        <v>463</v>
      </c>
    </row>
    <row r="67" customHeight="1" spans="1:1">
      <c r="A67" s="21" t="s">
        <v>464</v>
      </c>
    </row>
    <row r="68" customHeight="1" spans="1:1">
      <c r="A68" s="21" t="s">
        <v>465</v>
      </c>
    </row>
    <row r="69" customHeight="1" spans="1:1">
      <c r="A69" s="21" t="s">
        <v>466</v>
      </c>
    </row>
    <row r="70" customHeight="1" spans="1:1">
      <c r="A70" s="21" t="s">
        <v>467</v>
      </c>
    </row>
  </sheetData>
  <mergeCells count="1">
    <mergeCell ref="A1:C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_3" rangeCreator="" othersAccessPermission="edit"/>
  </rangeList>
  <rangeList sheetStid="12" master="" otherUserPermission="visible"/>
  <rangeList sheetStid="17" master="" otherUserPermission="visible"/>
  <rangeList sheetStid="22" master="" otherUserPermission="visible"/>
  <rangeList sheetStid="14" master="" otherUserPermission="visible"/>
  <rangeList sheetStid="1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注册公司基础信息</vt:lpstr>
      <vt:lpstr>西班牙</vt:lpstr>
      <vt:lpstr>荷兰</vt:lpstr>
      <vt:lpstr>WEEE类别判定指南（勿动）</vt:lpstr>
      <vt:lpstr>电池法类别判定指南（勿动）</vt:lpstr>
      <vt:lpstr>包装法类别判定指南（勿动）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26980</dc:creator>
  <cp:lastModifiedBy>WPS_1736053367</cp:lastModifiedBy>
  <dcterms:created xsi:type="dcterms:W3CDTF">2026-04-01T02:26:00Z</dcterms:created>
  <dcterms:modified xsi:type="dcterms:W3CDTF">2026-08-11T07:12:37Z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724DAA7D2E4F49F1924F937C38AC5ADF_13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